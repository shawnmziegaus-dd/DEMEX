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&amp; Scope" sheetId="1" state="visible" r:id="rId3"/>
    <sheet name="Inputs" sheetId="2" state="visible" r:id="rId4"/>
    <sheet name="Demo Bid - DDD" sheetId="3" state="visible" r:id="rId5"/>
    <sheet name="Markup - D100 Demo Plan" sheetId="4" state="visible" r:id="rId6"/>
    <sheet name="Markup - D100 Enlarge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Existing ceiling type not shown - assumed ACT/grid at ~10-12'. Plaster/spline ceilings per Gen. Note would be extra.</t>
        </r>
      </text>
    </comment>
    <comment ref="B8" authorId="0">
      <text>
        <r>
          <rPr>
            <sz val="10"/>
            <rFont val="Arial"/>
            <family val="2"/>
          </rPr>
          <t xml:space="preserve">Count not shown - verify at walk</t>
        </r>
      </text>
    </comment>
    <comment ref="B9" authorId="0">
      <text>
        <r>
          <rPr>
            <sz val="10"/>
            <rFont val="Arial"/>
            <family val="2"/>
          </rPr>
          <t xml:space="preserve">Floor type not shown. Paint stripping / mastic grinding = Alt #1</t>
        </r>
      </text>
    </comment>
    <comment ref="L28" authorId="0">
      <text>
        <r>
          <rPr>
            <sz val="10"/>
            <rFont val="Arial"/>
            <family val="2"/>
          </rPr>
          <t xml:space="preserve">Rounded up to the next $10</t>
        </r>
      </text>
    </comment>
    <comment ref="L38" authorId="0">
      <text>
        <r>
          <rPr>
            <sz val="10"/>
            <rFont val="Arial"/>
            <family val="2"/>
          </rPr>
          <t xml:space="preserve">Rounded up to the next $10</t>
        </r>
      </text>
    </comment>
    <comment ref="L49" authorId="0">
      <text>
        <r>
          <rPr>
            <sz val="10"/>
            <rFont val="Arial"/>
            <family val="2"/>
          </rPr>
          <t xml:space="preserve">Rounded up to the next $10</t>
        </r>
      </text>
    </comment>
  </commentList>
</comments>
</file>

<file path=xl/sharedStrings.xml><?xml version="1.0" encoding="utf-8"?>
<sst xmlns="http://schemas.openxmlformats.org/spreadsheetml/2006/main" count="210" uniqueCount="171">
  <si>
    <t xml:space="preserve">FINE WINE &amp; GOOD SPIRITS - WHITE OAK PA | DEMOLITION BID (DISASSEMBLE DYNAMICS, INC.)</t>
  </si>
  <si>
    <t xml:space="preserve">Fine Wine &amp; Good Spirits (PLCB Store #0282) - Oak Park Mall, 2001 Lincoln Way Suite 250, White Oak PA 15131 | GC: Marco Contractors (Calle Barrett, job fw8840) | Axis Architecture D100 (Addendum 1 10/26/26) | PA PREVAILING WAGE (L&amp;I Serial 26-09265) | Proposal DDD-2026/1028R1</t>
  </si>
  <si>
    <t xml:space="preserve">PRICE SUMMARY</t>
  </si>
  <si>
    <t xml:space="preserve">BASE BID</t>
  </si>
  <si>
    <t xml:space="preserve">Alternate No. 1 - strip paint / remove mastic / grind concrete floor (approx. 4,597 SF)</t>
  </si>
  <si>
    <t xml:space="preserve">Alternate No. 2 - sanitary trench sawcut &amp; slab removal (85 LF)</t>
  </si>
  <si>
    <t xml:space="preserve">SCOPE OF WORK (as written in the proposal)</t>
  </si>
  <si>
    <t xml:space="preserve">OUR SCOPE OF WORK (INCLUSIONS)</t>
  </si>
  <si>
    <t xml:space="preserve">Remove existing ceiling grid and tile throughout the suite, approx. 4,597 SF (D100 Note 2)</t>
  </si>
  <si>
    <t xml:space="preserve">Remove existing light fixtures throughout, approx. 58 EA (D100 Note 2)</t>
  </si>
  <si>
    <t xml:space="preserve">Remove existing flooring throughout, approx. 4,597 SF (D100 Note 2)</t>
  </si>
  <si>
    <t xml:space="preserve">Remove existing gypsum wallboard at the demising walls, metal studs to remain, approx. 221 LF (Addendum 1, D100 Note 6)</t>
  </si>
  <si>
    <t xml:space="preserve">Remove existing interior walls and closet partitions, approx. 30 LF (D100 Note 1)</t>
  </si>
  <si>
    <t xml:space="preserve">Remove existing doors, frames and hardware, 2 locations (D100 Note 4)</t>
  </si>
  <si>
    <t xml:space="preserve">Remove portion of existing storefront, approx. 14 LF (D100 Note 5)</t>
  </si>
  <si>
    <t xml:space="preserve">Remove existing water filtering equipment and associated piping and conduit after disconnect by others (Addendum 1, D100 Note 7)</t>
  </si>
  <si>
    <t xml:space="preserve">Remove existing mop sink / plumbing fixture after capping below slab by plumber (D100 Note 3)</t>
  </si>
  <si>
    <t xml:space="preserve">Remove abandoned electrical devices, boxes, plates and wiring back to the nearest junction box</t>
  </si>
  <si>
    <t xml:space="preserve">Remove TV brackets, fire extinguisher cabinets and miscellaneous equipment; turn over owner items as directed</t>
  </si>
  <si>
    <t xml:space="preserve">Provide daily clean up of debris generated by demolition activities; leave demolition areas broom clean</t>
  </si>
  <si>
    <t xml:space="preserve">Removal and disposal of all construction debris (C&amp;D) created from this work to an approved landfill accepting this debris per city, county &amp; federal codes &amp; EPA regulations.</t>
  </si>
  <si>
    <t xml:space="preserve">Pennsylvania prevailing wage rates per Addendum No. 1 (L&amp;I Serial 26-09265), including certified payroll.</t>
  </si>
  <si>
    <t xml:space="preserve">All work conforms to state and local code requirements.</t>
  </si>
  <si>
    <t xml:space="preserve">ADDED EXCLUSIONS</t>
  </si>
  <si>
    <t xml:space="preserve">Capping plumbing below slab, MEP disconnects and make-safe (Divisions 15 / 16 per Demo Gen. Notes).</t>
  </si>
  <si>
    <t xml:space="preserve">Paint stripping, mastic removal and grinding of concrete floor (priced as Alternate No. 1); sealing of concrete.</t>
  </si>
  <si>
    <t xml:space="preserve">Sanitary trench sawcut and slab removal (priced as Alternate No. 2); excavation, backfill and concrete patch.</t>
  </si>
  <si>
    <t xml:space="preserve">Dust control barriers and mall-side protection / barricades (by GC).</t>
  </si>
  <si>
    <t xml:space="preserve">Removal of conduit and wiring beyond the nearest junction box or back to panel / source.</t>
  </si>
  <si>
    <t xml:space="preserve">Roof openings for mechanical, plumbing or electrical work.</t>
  </si>
  <si>
    <t xml:space="preserve">Patching and repair of walls, floors and ceilings; removal and reinstallation of relocated items.</t>
  </si>
  <si>
    <t xml:space="preserve">Removal of metal studs at demising walls (to remain per Addendum 1).</t>
  </si>
  <si>
    <t xml:space="preserve">Fine Wine &amp; Good Spirits - White Oak PA | Demolition Estimate Inputs</t>
  </si>
  <si>
    <t xml:space="preserve">Blue = editable input. Yellow = assumption to confirm. All costs flow to the Demo Bid tab.</t>
  </si>
  <si>
    <t xml:space="preserve">Input</t>
  </si>
  <si>
    <t xml:space="preserve">Value</t>
  </si>
  <si>
    <t xml:space="preserve">Note</t>
  </si>
  <si>
    <t xml:space="preserve">PW Laborer Class 02 base wage ($/hr)</t>
  </si>
  <si>
    <t xml:space="preserve">PA L&amp;I Serial 26-09265, Building, eff. 1/1/2026 (Addendum 1 Att. 1) - confirm demo classification</t>
  </si>
  <si>
    <t xml:space="preserve">PW Laborer fringe ($/hr)</t>
  </si>
  <si>
    <t xml:space="preserve">Same determination - pay as cash or bona fide benefits</t>
  </si>
  <si>
    <t xml:space="preserve">Payroll burden on base wage (%)</t>
  </si>
  <si>
    <t xml:space="preserve">FICA 7.65% + FUTA/SUTA + demo work comp - confirm with payroll</t>
  </si>
  <si>
    <t xml:space="preserve">Labor rate ($/MH, loaded prevailing wage)</t>
  </si>
  <si>
    <t xml:space="preserve">Replaces the standing $25/MH flat rate on this prevailing wage job</t>
  </si>
  <si>
    <t xml:space="preserve">Crew size (men)</t>
  </si>
  <si>
    <t xml:space="preserve">Standing input</t>
  </si>
  <si>
    <t xml:space="preserve">Shift length (hrs)</t>
  </si>
  <si>
    <t xml:space="preserve">Day work in mall - after-hours not included</t>
  </si>
  <si>
    <t xml:space="preserve">Profit ($ per crew-day)</t>
  </si>
  <si>
    <t xml:space="preserve">Contingency (% of direct)</t>
  </si>
  <si>
    <t xml:space="preserve">C&amp;D dumpster 30 yd ($/pull)</t>
  </si>
  <si>
    <t xml:space="preserve">Pittsburgh-area rate not on file - confirm with mall / local hauler</t>
  </si>
  <si>
    <t xml:space="preserve">Concrete dumpster 20 yd ($/pull)</t>
  </si>
  <si>
    <t xml:space="preserve">PA rate not on file - confirm</t>
  </si>
  <si>
    <t xml:space="preserve">Lodging ($/night, crew house)</t>
  </si>
  <si>
    <t xml:space="preserve">Standing rate; travel job ~950 mi from Lake City</t>
  </si>
  <si>
    <t xml:space="preserve">Per diem ($/man/day)</t>
  </si>
  <si>
    <t xml:space="preserve">Include lodging &amp; per diem? (1 = yes, 0 = no)</t>
  </si>
  <si>
    <t xml:space="preserve">Set to 0 if a local crew is used</t>
  </si>
  <si>
    <t xml:space="preserve">Lodging nights per crew-day</t>
  </si>
  <si>
    <t xml:space="preserve">7 nights per 5 work days</t>
  </si>
  <si>
    <t xml:space="preserve">Certified payroll / PW compliance admin ($ LS)</t>
  </si>
  <si>
    <t xml:space="preserve">Weekly certified payrolls, L&amp;I postings</t>
  </si>
  <si>
    <t xml:space="preserve">DISASSEMBLE DYNAMICS, INC. - DEMOLITION BID BREAKOUT</t>
  </si>
  <si>
    <t xml:space="preserve">Fine Wine &amp; Good Spirits (PLCB Store #0282) - Oak Park Mall, 2001 Lincoln Way Suite 250, White Oak PA 15131 | GC: Marco Contractors (Calle Barrett, job fw8840) | Axis Architecture D100 (Addendum 1 10/26/26) | PA PREVAILING WAGE (L&amp;I Serial 26-09265)</t>
  </si>
  <si>
    <t xml:space="preserve">Quantities scaled from Addendum 1 D100 at 1/8" = 1'-0" and A100 area split (4,597 SF) - see markup tabs. Existing ceiling, flooring and lighting types not shown - verify at walk.</t>
  </si>
  <si>
    <t xml:space="preserve">DEMOLITION MARKUP - D100 (ADDENDUM 1)</t>
  </si>
  <si>
    <t xml:space="preserve">#</t>
  </si>
  <si>
    <t xml:space="preserve">Description</t>
  </si>
  <si>
    <t xml:space="preserve">Ref</t>
  </si>
  <si>
    <t xml:space="preserve">Qty</t>
  </si>
  <si>
    <t xml:space="preserve">Unit</t>
  </si>
  <si>
    <t xml:space="preserve">MH / Unit</t>
  </si>
  <si>
    <t xml:space="preserve">MH</t>
  </si>
  <si>
    <t xml:space="preserve">Labor $</t>
  </si>
  <si>
    <t xml:space="preserve">Equip / Rental $</t>
  </si>
  <si>
    <t xml:space="preserve">Disposal $</t>
  </si>
  <si>
    <t xml:space="preserve">Other $</t>
  </si>
  <si>
    <t xml:space="preserve">Direct $</t>
  </si>
  <si>
    <t xml:space="preserve">BASE BID - INTERIOR DEMOLITION (D100 ADDENDUM 1)</t>
  </si>
  <si>
    <t xml:space="preserve">D1</t>
  </si>
  <si>
    <t xml:space="preserve">Remove ceiling grid &amp; tile throughout (Note 2)</t>
  </si>
  <si>
    <t xml:space="preserve">D100 Note 2; Gen. Notes</t>
  </si>
  <si>
    <t xml:space="preserve">SF</t>
  </si>
  <si>
    <t xml:space="preserve">D2</t>
  </si>
  <si>
    <t xml:space="preserve">Remove light fixtures throughout (approx. 1 per 80 SF)</t>
  </si>
  <si>
    <t xml:space="preserve">D100 Note 2</t>
  </si>
  <si>
    <t xml:space="preserve">EA</t>
  </si>
  <si>
    <t xml:space="preserve">D3</t>
  </si>
  <si>
    <t xml:space="preserve">Remove flooring throughout (assumed carpet / VCT / resilient on slab)</t>
  </si>
  <si>
    <t xml:space="preserve">D100 Note 2; A103</t>
  </si>
  <si>
    <t xml:space="preserve">D4</t>
  </si>
  <si>
    <t xml:space="preserve">Remove existing gypsum wallboard at demising walls - metal studs to remain (+/-221 LF x ~12')</t>
  </si>
  <si>
    <t xml:space="preserve">Add. 1 Note 6</t>
  </si>
  <si>
    <t xml:space="preserve">D5</t>
  </si>
  <si>
    <t xml:space="preserve">Remove interior walls / closet partitions (+/-30 LF)</t>
  </si>
  <si>
    <t xml:space="preserve">D100 Note 1</t>
  </si>
  <si>
    <t xml:space="preserve">LF</t>
  </si>
  <si>
    <t xml:space="preserve">D6</t>
  </si>
  <si>
    <t xml:space="preserve">Remove doors, frames &amp; hardware (2 locations incl. rear pair)</t>
  </si>
  <si>
    <t xml:space="preserve">D100 Note 4; A100 door 9</t>
  </si>
  <si>
    <t xml:space="preserve">D7</t>
  </si>
  <si>
    <t xml:space="preserve">Remove portion of storefront (+/-14 LF)</t>
  </si>
  <si>
    <t xml:space="preserve">D100 Note 5</t>
  </si>
  <si>
    <t xml:space="preserve">D8</t>
  </si>
  <si>
    <t xml:space="preserve">Remove water filtering equipment &amp; associated piping/conduit after disconnect by plumber/electrician</t>
  </si>
  <si>
    <t xml:space="preserve">Add. 1 Note 7</t>
  </si>
  <si>
    <t xml:space="preserve">LS</t>
  </si>
  <si>
    <t xml:space="preserve">D9</t>
  </si>
  <si>
    <t xml:space="preserve">Remove mop sink / plumbing fixture after cap below slab by plumber</t>
  </si>
  <si>
    <t xml:space="preserve">D100 Note 3</t>
  </si>
  <si>
    <t xml:space="preserve">D10</t>
  </si>
  <si>
    <t xml:space="preserve">Remove abandoned electrical devices, boxes &amp; wiring back to nearest J-box</t>
  </si>
  <si>
    <t xml:space="preserve">Gen. Demo Notes</t>
  </si>
  <si>
    <t xml:space="preserve">D11</t>
  </si>
  <si>
    <t xml:space="preserve">Remove misc. equipment - TV brackets, fire extinguisher cabinets, owner items per direction</t>
  </si>
  <si>
    <t xml:space="preserve">D12</t>
  </si>
  <si>
    <t xml:space="preserve">Mall load-out via service corridor, protection of items to remain, daily clean &amp; broom clean</t>
  </si>
  <si>
    <t xml:space="preserve">D13</t>
  </si>
  <si>
    <t xml:space="preserve">Ladders / baker scaffold / debris carts</t>
  </si>
  <si>
    <t xml:space="preserve">-</t>
  </si>
  <si>
    <t xml:space="preserve">D14</t>
  </si>
  <si>
    <t xml:space="preserve">Consumables - blades, bags, poly, PPE</t>
  </si>
  <si>
    <t xml:space="preserve">D15</t>
  </si>
  <si>
    <t xml:space="preserve">Certified payroll / prevailing wage compliance</t>
  </si>
  <si>
    <t xml:space="preserve">Addendum 1</t>
  </si>
  <si>
    <t xml:space="preserve">D16</t>
  </si>
  <si>
    <t xml:space="preserve">C&amp;D disposal - 30 yd dumpsters</t>
  </si>
  <si>
    <t xml:space="preserve">PULL</t>
  </si>
  <si>
    <t xml:space="preserve">BASE BID - man-hours / crew-days</t>
  </si>
  <si>
    <t xml:space="preserve">Direct cost</t>
  </si>
  <si>
    <t xml:space="preserve">Lodging &amp; per diem</t>
  </si>
  <si>
    <t xml:space="preserve">Contingency</t>
  </si>
  <si>
    <t xml:space="preserve">Profit ($/crew-day x crew-days)</t>
  </si>
  <si>
    <t xml:space="preserve">BASE BID TOTAL</t>
  </si>
  <si>
    <t xml:space="preserve">ALTERNATE #1 - STRIP PAINT / REMOVE MASTIC / GRIND CONCRETE FLOOR</t>
  </si>
  <si>
    <t xml:space="preserve">A1.1</t>
  </si>
  <si>
    <t xml:space="preserve">Strip paint &amp; remove mastic from existing concrete floor to receive new finish (sealer by others)</t>
  </si>
  <si>
    <t xml:space="preserve">Gen. Demo Notes; A103</t>
  </si>
  <si>
    <t xml:space="preserve">A1.2</t>
  </si>
  <si>
    <t xml:space="preserve">C&amp;D disposal</t>
  </si>
  <si>
    <t xml:space="preserve">ALT #1 - man-hours / crew-days</t>
  </si>
  <si>
    <t xml:space="preserve">ALT #1 TOTAL</t>
  </si>
  <si>
    <t xml:space="preserve">ALTERNATE #2 - SANITARY TRENCH SAWCUT &amp; SLAB REMOVAL (85 LF PER ITB)</t>
  </si>
  <si>
    <t xml:space="preserve">A2.1</t>
  </si>
  <si>
    <t xml:space="preserve">Sawcut slab both sides of trench (85 LF x 2 sides)</t>
  </si>
  <si>
    <t xml:space="preserve">ITB - concrete trench 85 LF</t>
  </si>
  <si>
    <t xml:space="preserve">A2.2</t>
  </si>
  <si>
    <t xml:space="preserve">Break &amp; remove trench slab (approx. 2' wide) - excavation &amp; pour-back by others</t>
  </si>
  <si>
    <t xml:space="preserve">ITB</t>
  </si>
  <si>
    <t xml:space="preserve">A2.3</t>
  </si>
  <si>
    <t xml:space="preserve">Concrete disposal - 20 yd dumpster</t>
  </si>
  <si>
    <t xml:space="preserve">ALT #2 - man-hours / crew-days</t>
  </si>
  <si>
    <t xml:space="preserve">ALT #2 TOTAL</t>
  </si>
  <si>
    <t xml:space="preserve">DEMOLITION BID SUMMARY</t>
  </si>
  <si>
    <t xml:space="preserve">ALT #1</t>
  </si>
  <si>
    <t xml:space="preserve">ALT #2</t>
  </si>
  <si>
    <t xml:space="preserve">Base bid + all alternates (if accepted)</t>
  </si>
  <si>
    <t xml:space="preserve">EXPENSE BREAKDOWN BY COST TYPE</t>
  </si>
  <si>
    <t xml:space="preserve">Section</t>
  </si>
  <si>
    <t xml:space="preserve">Labor MH</t>
  </si>
  <si>
    <t xml:space="preserve">Equipment $</t>
  </si>
  <si>
    <t xml:space="preserve">Other / Consumables $</t>
  </si>
  <si>
    <t xml:space="preserve">Lodging &amp; Per Diem $</t>
  </si>
  <si>
    <t xml:space="preserve">Contingency $</t>
  </si>
  <si>
    <t xml:space="preserve">Profit $</t>
  </si>
  <si>
    <t xml:space="preserve">Total $</t>
  </si>
  <si>
    <t xml:space="preserve">% of base bid</t>
  </si>
  <si>
    <t xml:space="preserve">MARKUP: D100 Demo Plan  (full-size PDF: FWGS_White_Oak_Demo_Markup.pdf)</t>
  </si>
  <si>
    <t xml:space="preserve">MARKUP: D100 Enlarged  (full-size PDF: FWGS_White_Oak_Demo_Markup.pdf)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</si>
</sst>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;&quot;($&quot;#,##0\);\-"/>
    <numFmt numFmtId="166" formatCode="\$#,##0.00"/>
    <numFmt numFmtId="167" formatCode="0.0%"/>
    <numFmt numFmtId="168" formatCode="0"/>
    <numFmt numFmtId="169" formatCode="\$#,##0"/>
    <numFmt numFmtId="170" formatCode="0.0"/>
    <numFmt numFmtId="171" formatCode="#,##0;\(#,##0\);\-"/>
    <numFmt numFmtId="172" formatCode="0.000"/>
    <numFmt numFmtId="173" formatCode="#,##0.0;\(#,##0.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12121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E0E0E0"/>
        <bgColor rgb="FFFFF3C4"/>
      </patternFill>
    </fill>
    <fill>
      <patternFill patternType="solid">
        <fgColor rgb="FFFFF3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4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2</xdr:row>
      <xdr:rowOff>160920</xdr:rowOff>
    </xdr:from>
    <xdr:to>
      <xdr:col>34</xdr:col>
      <xdr:colOff>492840</xdr:colOff>
      <xdr:row>48</xdr:row>
      <xdr:rowOff>172080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14214960" y="571680"/>
          <a:ext cx="13334760" cy="8886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53</xdr:row>
      <xdr:rowOff>48240</xdr:rowOff>
    </xdr:from>
    <xdr:to>
      <xdr:col>34</xdr:col>
      <xdr:colOff>492840</xdr:colOff>
      <xdr:row>85</xdr:row>
      <xdr:rowOff>174240</xdr:rowOff>
    </xdr:to>
    <xdr:pic>
      <xdr:nvPicPr>
        <xdr:cNvPr id="3" name="Image 2" descr="Picture"/>
        <xdr:cNvPicPr/>
      </xdr:nvPicPr>
      <xdr:blipFill>
        <a:blip r:embed="rId2"/>
        <a:stretch/>
      </xdr:blipFill>
      <xdr:spPr>
        <a:xfrm>
          <a:off x="14214960" y="10287000"/>
          <a:ext cx="13334760" cy="6476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23</xdr:col>
      <xdr:colOff>222840</xdr:colOff>
      <xdr:row>51</xdr:row>
      <xdr:rowOff>189720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380880"/>
          <a:ext cx="14287320" cy="9524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23</xdr:col>
      <xdr:colOff>222840</xdr:colOff>
      <xdr:row>38</xdr:row>
      <xdr:rowOff>85320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380880"/>
          <a:ext cx="14287320" cy="6943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5"/>
    <col collapsed="false" customWidth="true" hidden="false" outlineLevel="0" max="3" min="3" style="0" width="16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3" t="s">
        <v>3</v>
      </c>
      <c r="C5" s="4" t="n">
        <f aca="false">'Demo Bid - DDD'!L28</f>
        <v>25910</v>
      </c>
    </row>
    <row r="6" customFormat="false" ht="15" hidden="false" customHeight="false" outlineLevel="0" collapsed="false">
      <c r="B6" s="5" t="s">
        <v>4</v>
      </c>
      <c r="C6" s="6" t="n">
        <f aca="false">'Demo Bid - DDD'!L38</f>
        <v>9330</v>
      </c>
    </row>
    <row r="7" customFormat="false" ht="15" hidden="false" customHeight="false" outlineLevel="0" collapsed="false">
      <c r="B7" s="5" t="s">
        <v>5</v>
      </c>
      <c r="C7" s="6" t="n">
        <f aca="false">'Demo Bid - DDD'!L49</f>
        <v>3630</v>
      </c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7" t="s">
        <v>7</v>
      </c>
    </row>
    <row r="11" customFormat="false" ht="15" hidden="false" customHeight="false" outlineLevel="0" collapsed="false">
      <c r="B11" s="8" t="s">
        <v>8</v>
      </c>
    </row>
    <row r="12" customFormat="false" ht="15" hidden="false" customHeight="false" outlineLevel="0" collapsed="false">
      <c r="B12" s="8" t="s">
        <v>9</v>
      </c>
    </row>
    <row r="13" customFormat="false" ht="15" hidden="false" customHeight="false" outlineLevel="0" collapsed="false">
      <c r="B13" s="8" t="s">
        <v>10</v>
      </c>
    </row>
    <row r="14" customFormat="false" ht="15" hidden="false" customHeight="false" outlineLevel="0" collapsed="false">
      <c r="B14" s="8" t="s">
        <v>11</v>
      </c>
    </row>
    <row r="15" customFormat="false" ht="15" hidden="false" customHeight="false" outlineLevel="0" collapsed="false">
      <c r="B15" s="8" t="s">
        <v>12</v>
      </c>
    </row>
    <row r="16" customFormat="false" ht="15" hidden="false" customHeight="false" outlineLevel="0" collapsed="false">
      <c r="B16" s="8" t="s">
        <v>13</v>
      </c>
    </row>
    <row r="17" customFormat="false" ht="15" hidden="false" customHeight="false" outlineLevel="0" collapsed="false">
      <c r="B17" s="8" t="s">
        <v>14</v>
      </c>
    </row>
    <row r="18" customFormat="false" ht="15" hidden="false" customHeight="false" outlineLevel="0" collapsed="false">
      <c r="B18" s="8" t="s">
        <v>15</v>
      </c>
    </row>
    <row r="19" customFormat="false" ht="15" hidden="false" customHeight="false" outlineLevel="0" collapsed="false">
      <c r="B19" s="8" t="s">
        <v>16</v>
      </c>
    </row>
    <row r="20" customFormat="false" ht="15" hidden="false" customHeight="false" outlineLevel="0" collapsed="false">
      <c r="B20" s="8" t="s">
        <v>17</v>
      </c>
    </row>
    <row r="21" customFormat="false" ht="15" hidden="false" customHeight="false" outlineLevel="0" collapsed="false">
      <c r="B21" s="8" t="s">
        <v>18</v>
      </c>
    </row>
    <row r="22" customFormat="false" ht="15" hidden="false" customHeight="false" outlineLevel="0" collapsed="false">
      <c r="B22" s="8" t="s">
        <v>19</v>
      </c>
    </row>
    <row r="23" customFormat="false" ht="23.85" hidden="false" customHeight="false" outlineLevel="0" collapsed="false">
      <c r="B23" s="8" t="s">
        <v>20</v>
      </c>
    </row>
    <row r="24" customFormat="false" ht="15" hidden="false" customHeight="false" outlineLevel="0" collapsed="false">
      <c r="B24" s="8" t="s">
        <v>21</v>
      </c>
    </row>
    <row r="25" customFormat="false" ht="15" hidden="false" customHeight="false" outlineLevel="0" collapsed="false">
      <c r="B25" s="8" t="s">
        <v>22</v>
      </c>
    </row>
    <row r="26" customFormat="false" ht="15" hidden="false" customHeight="false" outlineLevel="0" collapsed="false">
      <c r="B26" s="7" t="s">
        <v>23</v>
      </c>
    </row>
    <row r="27" customFormat="false" ht="15" hidden="false" customHeight="false" outlineLevel="0" collapsed="false">
      <c r="B27" s="8" t="s">
        <v>24</v>
      </c>
    </row>
    <row r="28" customFormat="false" ht="15" hidden="false" customHeight="false" outlineLevel="0" collapsed="false">
      <c r="B28" s="8" t="s">
        <v>25</v>
      </c>
    </row>
    <row r="29" customFormat="false" ht="15" hidden="false" customHeight="false" outlineLevel="0" collapsed="false">
      <c r="B29" s="8" t="s">
        <v>26</v>
      </c>
    </row>
    <row r="30" customFormat="false" ht="15" hidden="false" customHeight="false" outlineLevel="0" collapsed="false">
      <c r="B30" s="8" t="s">
        <v>27</v>
      </c>
    </row>
    <row r="31" customFormat="false" ht="15" hidden="false" customHeight="false" outlineLevel="0" collapsed="false">
      <c r="B31" s="8" t="s">
        <v>28</v>
      </c>
    </row>
    <row r="32" customFormat="false" ht="15" hidden="false" customHeight="false" outlineLevel="0" collapsed="false">
      <c r="B32" s="8" t="s">
        <v>29</v>
      </c>
    </row>
    <row r="33" customFormat="false" ht="15" hidden="false" customHeight="false" outlineLevel="0" collapsed="false">
      <c r="B33" s="8" t="s">
        <v>30</v>
      </c>
    </row>
    <row r="34" customFormat="false" ht="15" hidden="false" customHeight="false" outlineLevel="0" collapsed="false">
      <c r="B34" s="8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15" hidden="false" customHeight="false" outlineLevel="0" collapsed="false">
      <c r="A4" s="9" t="s">
        <v>34</v>
      </c>
      <c r="B4" s="9" t="s">
        <v>35</v>
      </c>
      <c r="C4" s="9" t="s">
        <v>36</v>
      </c>
    </row>
    <row r="5" customFormat="false" ht="15" hidden="false" customHeight="false" outlineLevel="0" collapsed="false">
      <c r="A5" s="5" t="s">
        <v>37</v>
      </c>
      <c r="B5" s="10" t="n">
        <v>27.97</v>
      </c>
      <c r="C5" s="11" t="s">
        <v>38</v>
      </c>
    </row>
    <row r="6" customFormat="false" ht="15" hidden="false" customHeight="false" outlineLevel="0" collapsed="false">
      <c r="A6" s="5" t="s">
        <v>39</v>
      </c>
      <c r="B6" s="12" t="n">
        <v>20.46</v>
      </c>
      <c r="C6" s="11" t="s">
        <v>40</v>
      </c>
    </row>
    <row r="7" customFormat="false" ht="15" hidden="false" customHeight="false" outlineLevel="0" collapsed="false">
      <c r="A7" s="5" t="s">
        <v>41</v>
      </c>
      <c r="B7" s="13" t="n">
        <v>0.22</v>
      </c>
      <c r="C7" s="11" t="s">
        <v>42</v>
      </c>
    </row>
    <row r="8" customFormat="false" ht="15" hidden="false" customHeight="false" outlineLevel="0" collapsed="false">
      <c r="A8" s="5" t="s">
        <v>43</v>
      </c>
      <c r="B8" s="14" t="n">
        <f aca="false">B5+B6+B5*B7</f>
        <v>54.5834</v>
      </c>
      <c r="C8" s="11" t="s">
        <v>44</v>
      </c>
    </row>
    <row r="9" customFormat="false" ht="15" hidden="false" customHeight="false" outlineLevel="0" collapsed="false">
      <c r="A9" s="5" t="s">
        <v>45</v>
      </c>
      <c r="B9" s="15" t="n">
        <v>6</v>
      </c>
      <c r="C9" s="11" t="s">
        <v>46</v>
      </c>
    </row>
    <row r="10" customFormat="false" ht="15" hidden="false" customHeight="false" outlineLevel="0" collapsed="false">
      <c r="A10" s="5" t="s">
        <v>47</v>
      </c>
      <c r="B10" s="15" t="n">
        <v>8</v>
      </c>
      <c r="C10" s="11" t="s">
        <v>48</v>
      </c>
    </row>
    <row r="11" customFormat="false" ht="15" hidden="false" customHeight="false" outlineLevel="0" collapsed="false">
      <c r="A11" s="5" t="s">
        <v>49</v>
      </c>
      <c r="B11" s="16" t="n">
        <v>1000</v>
      </c>
      <c r="C11" s="11" t="s">
        <v>46</v>
      </c>
    </row>
    <row r="12" customFormat="false" ht="15" hidden="false" customHeight="false" outlineLevel="0" collapsed="false">
      <c r="A12" s="5" t="s">
        <v>50</v>
      </c>
      <c r="B12" s="17" t="n">
        <v>0.05</v>
      </c>
      <c r="C12" s="11" t="s">
        <v>46</v>
      </c>
    </row>
    <row r="13" customFormat="false" ht="15" hidden="false" customHeight="false" outlineLevel="0" collapsed="false">
      <c r="A13" s="5" t="s">
        <v>51</v>
      </c>
      <c r="B13" s="18" t="n">
        <v>650</v>
      </c>
      <c r="C13" s="11" t="s">
        <v>52</v>
      </c>
    </row>
    <row r="14" customFormat="false" ht="15" hidden="false" customHeight="false" outlineLevel="0" collapsed="false">
      <c r="A14" s="5" t="s">
        <v>53</v>
      </c>
      <c r="B14" s="18" t="n">
        <v>550</v>
      </c>
      <c r="C14" s="11" t="s">
        <v>54</v>
      </c>
    </row>
    <row r="15" customFormat="false" ht="15" hidden="false" customHeight="false" outlineLevel="0" collapsed="false">
      <c r="A15" s="5" t="s">
        <v>55</v>
      </c>
      <c r="B15" s="18" t="n">
        <v>265</v>
      </c>
      <c r="C15" s="11" t="s">
        <v>56</v>
      </c>
    </row>
    <row r="16" customFormat="false" ht="15" hidden="false" customHeight="false" outlineLevel="0" collapsed="false">
      <c r="A16" s="5" t="s">
        <v>57</v>
      </c>
      <c r="B16" s="16" t="n">
        <v>40</v>
      </c>
      <c r="C16" s="11" t="s">
        <v>46</v>
      </c>
    </row>
    <row r="17" customFormat="false" ht="15" hidden="false" customHeight="false" outlineLevel="0" collapsed="false">
      <c r="A17" s="5" t="s">
        <v>58</v>
      </c>
      <c r="B17" s="19" t="n">
        <v>1</v>
      </c>
      <c r="C17" s="11" t="s">
        <v>59</v>
      </c>
    </row>
    <row r="18" customFormat="false" ht="15" hidden="false" customHeight="false" outlineLevel="0" collapsed="false">
      <c r="A18" s="5" t="s">
        <v>60</v>
      </c>
      <c r="B18" s="20" t="n">
        <v>1.4</v>
      </c>
      <c r="C18" s="11" t="s">
        <v>61</v>
      </c>
    </row>
    <row r="19" customFormat="false" ht="15" hidden="false" customHeight="false" outlineLevel="0" collapsed="false">
      <c r="A19" s="5" t="s">
        <v>62</v>
      </c>
      <c r="B19" s="18" t="n">
        <v>450</v>
      </c>
      <c r="C19" s="11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2"/>
    <col collapsed="false" customWidth="true" hidden="false" outlineLevel="0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7" min="6" style="0" width="9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1" min="10" style="0" width="11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65</v>
      </c>
    </row>
    <row r="3" customFormat="false" ht="15" hidden="false" customHeight="false" outlineLevel="0" collapsed="false">
      <c r="A3" s="2" t="s">
        <v>66</v>
      </c>
      <c r="N3" s="21" t="s">
        <v>67</v>
      </c>
    </row>
    <row r="5" customFormat="false" ht="23.85" hidden="false" customHeight="false" outlineLevel="0" collapsed="false">
      <c r="A5" s="22" t="s">
        <v>68</v>
      </c>
      <c r="B5" s="22" t="s">
        <v>69</v>
      </c>
      <c r="C5" s="22" t="s">
        <v>70</v>
      </c>
      <c r="D5" s="22" t="s">
        <v>71</v>
      </c>
      <c r="E5" s="22" t="s">
        <v>72</v>
      </c>
      <c r="F5" s="22" t="s">
        <v>73</v>
      </c>
      <c r="G5" s="22" t="s">
        <v>74</v>
      </c>
      <c r="H5" s="22" t="s">
        <v>75</v>
      </c>
      <c r="I5" s="22" t="s">
        <v>76</v>
      </c>
      <c r="J5" s="22" t="s">
        <v>77</v>
      </c>
      <c r="K5" s="22" t="s">
        <v>78</v>
      </c>
      <c r="L5" s="22" t="s">
        <v>79</v>
      </c>
    </row>
    <row r="6" customFormat="false" ht="15" hidden="false" customHeight="false" outlineLevel="0" collapsed="false">
      <c r="A6" s="23" t="s">
        <v>80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</row>
    <row r="7" customFormat="false" ht="15" hidden="false" customHeight="false" outlineLevel="0" collapsed="false">
      <c r="A7" s="25" t="s">
        <v>81</v>
      </c>
      <c r="B7" s="25" t="s">
        <v>82</v>
      </c>
      <c r="C7" s="26" t="s">
        <v>83</v>
      </c>
      <c r="D7" s="27" t="n">
        <v>4597</v>
      </c>
      <c r="E7" s="25" t="s">
        <v>84</v>
      </c>
      <c r="F7" s="28" t="n">
        <v>0.012</v>
      </c>
      <c r="G7" s="29" t="n">
        <f aca="false">D7*F7</f>
        <v>55.164</v>
      </c>
      <c r="H7" s="30" t="n">
        <f aca="false">G7*Inputs!$B$8</f>
        <v>3011.0386776</v>
      </c>
      <c r="I7" s="31" t="n">
        <v>0</v>
      </c>
      <c r="J7" s="31" t="n">
        <v>0</v>
      </c>
      <c r="K7" s="31" t="n">
        <v>0</v>
      </c>
      <c r="L7" s="30" t="n">
        <f aca="false">SUM(H7:K7)</f>
        <v>3011.0386776</v>
      </c>
    </row>
    <row r="8" customFormat="false" ht="15" hidden="false" customHeight="false" outlineLevel="0" collapsed="false">
      <c r="A8" s="25" t="s">
        <v>85</v>
      </c>
      <c r="B8" s="25" t="s">
        <v>86</v>
      </c>
      <c r="C8" s="26" t="s">
        <v>87</v>
      </c>
      <c r="D8" s="27" t="n">
        <v>58</v>
      </c>
      <c r="E8" s="25" t="s">
        <v>88</v>
      </c>
      <c r="F8" s="28" t="n">
        <v>0.5</v>
      </c>
      <c r="G8" s="29" t="n">
        <f aca="false">D8*F8</f>
        <v>29</v>
      </c>
      <c r="H8" s="30" t="n">
        <f aca="false">G8*Inputs!$B$8</f>
        <v>1582.9186</v>
      </c>
      <c r="I8" s="31" t="n">
        <v>0</v>
      </c>
      <c r="J8" s="31" t="n">
        <v>0</v>
      </c>
      <c r="K8" s="31" t="n">
        <v>0</v>
      </c>
      <c r="L8" s="30" t="n">
        <f aca="false">SUM(H8:K8)</f>
        <v>1582.9186</v>
      </c>
    </row>
    <row r="9" customFormat="false" ht="15" hidden="false" customHeight="false" outlineLevel="0" collapsed="false">
      <c r="A9" s="25" t="s">
        <v>89</v>
      </c>
      <c r="B9" s="25" t="s">
        <v>90</v>
      </c>
      <c r="C9" s="26" t="s">
        <v>91</v>
      </c>
      <c r="D9" s="27" t="n">
        <v>4597</v>
      </c>
      <c r="E9" s="25" t="s">
        <v>84</v>
      </c>
      <c r="F9" s="28" t="n">
        <v>0.01</v>
      </c>
      <c r="G9" s="29" t="n">
        <f aca="false">D9*F9</f>
        <v>45.97</v>
      </c>
      <c r="H9" s="30" t="n">
        <f aca="false">G9*Inputs!$B$8</f>
        <v>2509.198898</v>
      </c>
      <c r="I9" s="31" t="n">
        <v>0</v>
      </c>
      <c r="J9" s="31" t="n">
        <v>0</v>
      </c>
      <c r="K9" s="31" t="n">
        <v>0</v>
      </c>
      <c r="L9" s="30" t="n">
        <f aca="false">SUM(H9:K9)</f>
        <v>2509.198898</v>
      </c>
    </row>
    <row r="10" customFormat="false" ht="15" hidden="false" customHeight="false" outlineLevel="0" collapsed="false">
      <c r="A10" s="25" t="s">
        <v>92</v>
      </c>
      <c r="B10" s="25" t="s">
        <v>93</v>
      </c>
      <c r="C10" s="26" t="s">
        <v>94</v>
      </c>
      <c r="D10" s="27" t="n">
        <v>2654</v>
      </c>
      <c r="E10" s="25" t="s">
        <v>84</v>
      </c>
      <c r="F10" s="28" t="n">
        <v>0.014</v>
      </c>
      <c r="G10" s="29" t="n">
        <f aca="false">D10*F10</f>
        <v>37.156</v>
      </c>
      <c r="H10" s="30" t="n">
        <f aca="false">G10*Inputs!$B$8</f>
        <v>2028.1008104</v>
      </c>
      <c r="I10" s="31" t="n">
        <v>0</v>
      </c>
      <c r="J10" s="31" t="n">
        <v>0</v>
      </c>
      <c r="K10" s="31" t="n">
        <v>0</v>
      </c>
      <c r="L10" s="30" t="n">
        <f aca="false">SUM(H10:K10)</f>
        <v>2028.1008104</v>
      </c>
    </row>
    <row r="11" customFormat="false" ht="15" hidden="false" customHeight="false" outlineLevel="0" collapsed="false">
      <c r="A11" s="25" t="s">
        <v>95</v>
      </c>
      <c r="B11" s="25" t="s">
        <v>96</v>
      </c>
      <c r="C11" s="26" t="s">
        <v>97</v>
      </c>
      <c r="D11" s="27" t="n">
        <v>30</v>
      </c>
      <c r="E11" s="25" t="s">
        <v>98</v>
      </c>
      <c r="F11" s="28" t="n">
        <v>0.3</v>
      </c>
      <c r="G11" s="29" t="n">
        <f aca="false">D11*F11</f>
        <v>9</v>
      </c>
      <c r="H11" s="30" t="n">
        <f aca="false">G11*Inputs!$B$8</f>
        <v>491.2506</v>
      </c>
      <c r="I11" s="31" t="n">
        <v>0</v>
      </c>
      <c r="J11" s="31" t="n">
        <v>0</v>
      </c>
      <c r="K11" s="31" t="n">
        <v>0</v>
      </c>
      <c r="L11" s="30" t="n">
        <f aca="false">SUM(H11:K11)</f>
        <v>491.2506</v>
      </c>
    </row>
    <row r="12" customFormat="false" ht="15" hidden="false" customHeight="false" outlineLevel="0" collapsed="false">
      <c r="A12" s="25" t="s">
        <v>99</v>
      </c>
      <c r="B12" s="25" t="s">
        <v>100</v>
      </c>
      <c r="C12" s="26" t="s">
        <v>101</v>
      </c>
      <c r="D12" s="27" t="n">
        <v>2</v>
      </c>
      <c r="E12" s="25" t="s">
        <v>88</v>
      </c>
      <c r="F12" s="28" t="n">
        <v>3</v>
      </c>
      <c r="G12" s="29" t="n">
        <f aca="false">D12*F12</f>
        <v>6</v>
      </c>
      <c r="H12" s="30" t="n">
        <f aca="false">G12*Inputs!$B$8</f>
        <v>327.5004</v>
      </c>
      <c r="I12" s="31" t="n">
        <v>0</v>
      </c>
      <c r="J12" s="31" t="n">
        <v>0</v>
      </c>
      <c r="K12" s="31" t="n">
        <v>0</v>
      </c>
      <c r="L12" s="30" t="n">
        <f aca="false">SUM(H12:K12)</f>
        <v>327.5004</v>
      </c>
    </row>
    <row r="13" customFormat="false" ht="15" hidden="false" customHeight="false" outlineLevel="0" collapsed="false">
      <c r="A13" s="25" t="s">
        <v>102</v>
      </c>
      <c r="B13" s="25" t="s">
        <v>103</v>
      </c>
      <c r="C13" s="26" t="s">
        <v>104</v>
      </c>
      <c r="D13" s="27" t="n">
        <v>14</v>
      </c>
      <c r="E13" s="25" t="s">
        <v>98</v>
      </c>
      <c r="F13" s="28" t="n">
        <v>1</v>
      </c>
      <c r="G13" s="29" t="n">
        <f aca="false">D13*F13</f>
        <v>14</v>
      </c>
      <c r="H13" s="30" t="n">
        <f aca="false">G13*Inputs!$B$8</f>
        <v>764.1676</v>
      </c>
      <c r="I13" s="31" t="n">
        <v>0</v>
      </c>
      <c r="J13" s="31" t="n">
        <v>0</v>
      </c>
      <c r="K13" s="31" t="n">
        <v>0</v>
      </c>
      <c r="L13" s="30" t="n">
        <f aca="false">SUM(H13:K13)</f>
        <v>764.1676</v>
      </c>
    </row>
    <row r="14" customFormat="false" ht="15" hidden="false" customHeight="false" outlineLevel="0" collapsed="false">
      <c r="A14" s="25" t="s">
        <v>105</v>
      </c>
      <c r="B14" s="25" t="s">
        <v>106</v>
      </c>
      <c r="C14" s="26" t="s">
        <v>107</v>
      </c>
      <c r="D14" s="27" t="n">
        <v>1</v>
      </c>
      <c r="E14" s="25" t="s">
        <v>108</v>
      </c>
      <c r="F14" s="28" t="n">
        <v>6</v>
      </c>
      <c r="G14" s="29" t="n">
        <f aca="false">D14*F14</f>
        <v>6</v>
      </c>
      <c r="H14" s="30" t="n">
        <f aca="false">G14*Inputs!$B$8</f>
        <v>327.5004</v>
      </c>
      <c r="I14" s="31" t="n">
        <v>0</v>
      </c>
      <c r="J14" s="31" t="n">
        <v>0</v>
      </c>
      <c r="K14" s="31" t="n">
        <v>0</v>
      </c>
      <c r="L14" s="30" t="n">
        <f aca="false">SUM(H14:K14)</f>
        <v>327.5004</v>
      </c>
    </row>
    <row r="15" customFormat="false" ht="15" hidden="false" customHeight="false" outlineLevel="0" collapsed="false">
      <c r="A15" s="25" t="s">
        <v>109</v>
      </c>
      <c r="B15" s="25" t="s">
        <v>110</v>
      </c>
      <c r="C15" s="26" t="s">
        <v>111</v>
      </c>
      <c r="D15" s="27" t="n">
        <v>1</v>
      </c>
      <c r="E15" s="25" t="s">
        <v>88</v>
      </c>
      <c r="F15" s="28" t="n">
        <v>2</v>
      </c>
      <c r="G15" s="29" t="n">
        <f aca="false">D15*F15</f>
        <v>2</v>
      </c>
      <c r="H15" s="30" t="n">
        <f aca="false">G15*Inputs!$B$8</f>
        <v>109.1668</v>
      </c>
      <c r="I15" s="31" t="n">
        <v>0</v>
      </c>
      <c r="J15" s="31" t="n">
        <v>0</v>
      </c>
      <c r="K15" s="31" t="n">
        <v>0</v>
      </c>
      <c r="L15" s="30" t="n">
        <f aca="false">SUM(H15:K15)</f>
        <v>109.1668</v>
      </c>
    </row>
    <row r="16" customFormat="false" ht="15" hidden="false" customHeight="false" outlineLevel="0" collapsed="false">
      <c r="A16" s="25" t="s">
        <v>112</v>
      </c>
      <c r="B16" s="25" t="s">
        <v>113</v>
      </c>
      <c r="C16" s="26" t="s">
        <v>114</v>
      </c>
      <c r="D16" s="27" t="n">
        <v>4597</v>
      </c>
      <c r="E16" s="25" t="s">
        <v>84</v>
      </c>
      <c r="F16" s="28" t="n">
        <v>0.003</v>
      </c>
      <c r="G16" s="29" t="n">
        <f aca="false">D16*F16</f>
        <v>13.791</v>
      </c>
      <c r="H16" s="30" t="n">
        <f aca="false">G16*Inputs!$B$8</f>
        <v>752.7596694</v>
      </c>
      <c r="I16" s="31" t="n">
        <v>0</v>
      </c>
      <c r="J16" s="31" t="n">
        <v>0</v>
      </c>
      <c r="K16" s="31" t="n">
        <v>0</v>
      </c>
      <c r="L16" s="30" t="n">
        <f aca="false">SUM(H16:K16)</f>
        <v>752.7596694</v>
      </c>
    </row>
    <row r="17" customFormat="false" ht="15" hidden="false" customHeight="false" outlineLevel="0" collapsed="false">
      <c r="A17" s="25" t="s">
        <v>115</v>
      </c>
      <c r="B17" s="25" t="s">
        <v>116</v>
      </c>
      <c r="C17" s="26" t="s">
        <v>114</v>
      </c>
      <c r="D17" s="27" t="n">
        <v>1</v>
      </c>
      <c r="E17" s="25" t="s">
        <v>108</v>
      </c>
      <c r="F17" s="28" t="n">
        <v>6</v>
      </c>
      <c r="G17" s="29" t="n">
        <f aca="false">D17*F17</f>
        <v>6</v>
      </c>
      <c r="H17" s="30" t="n">
        <f aca="false">G17*Inputs!$B$8</f>
        <v>327.5004</v>
      </c>
      <c r="I17" s="31" t="n">
        <v>0</v>
      </c>
      <c r="J17" s="31" t="n">
        <v>0</v>
      </c>
      <c r="K17" s="31" t="n">
        <v>0</v>
      </c>
      <c r="L17" s="30" t="n">
        <f aca="false">SUM(H17:K17)</f>
        <v>327.5004</v>
      </c>
    </row>
    <row r="18" customFormat="false" ht="15" hidden="false" customHeight="false" outlineLevel="0" collapsed="false">
      <c r="A18" s="25" t="s">
        <v>117</v>
      </c>
      <c r="B18" s="25" t="s">
        <v>118</v>
      </c>
      <c r="C18" s="26" t="s">
        <v>114</v>
      </c>
      <c r="D18" s="27" t="n">
        <v>1</v>
      </c>
      <c r="E18" s="25" t="s">
        <v>108</v>
      </c>
      <c r="F18" s="28" t="n">
        <v>15</v>
      </c>
      <c r="G18" s="29" t="n">
        <f aca="false">D18*F18</f>
        <v>15</v>
      </c>
      <c r="H18" s="30" t="n">
        <f aca="false">G18*Inputs!$B$8</f>
        <v>818.751</v>
      </c>
      <c r="I18" s="31" t="n">
        <v>0</v>
      </c>
      <c r="J18" s="31" t="n">
        <v>0</v>
      </c>
      <c r="K18" s="31" t="n">
        <v>0</v>
      </c>
      <c r="L18" s="30" t="n">
        <f aca="false">SUM(H18:K18)</f>
        <v>818.751</v>
      </c>
    </row>
    <row r="19" customFormat="false" ht="15" hidden="false" customHeight="false" outlineLevel="0" collapsed="false">
      <c r="A19" s="25" t="s">
        <v>119</v>
      </c>
      <c r="B19" s="25" t="s">
        <v>120</v>
      </c>
      <c r="C19" s="26" t="s">
        <v>121</v>
      </c>
      <c r="D19" s="27" t="n">
        <v>1</v>
      </c>
      <c r="E19" s="25" t="s">
        <v>108</v>
      </c>
      <c r="F19" s="28" t="n">
        <v>0</v>
      </c>
      <c r="G19" s="29" t="n">
        <f aca="false">D19*F19</f>
        <v>0</v>
      </c>
      <c r="H19" s="30" t="n">
        <f aca="false">G19*Inputs!$B$8</f>
        <v>0</v>
      </c>
      <c r="I19" s="31" t="n">
        <v>400</v>
      </c>
      <c r="J19" s="31" t="n">
        <v>0</v>
      </c>
      <c r="K19" s="31" t="n">
        <v>0</v>
      </c>
      <c r="L19" s="30" t="n">
        <f aca="false">SUM(H19:K19)</f>
        <v>400</v>
      </c>
    </row>
    <row r="20" customFormat="false" ht="15" hidden="false" customHeight="false" outlineLevel="0" collapsed="false">
      <c r="A20" s="25" t="s">
        <v>122</v>
      </c>
      <c r="B20" s="25" t="s">
        <v>123</v>
      </c>
      <c r="C20" s="26" t="s">
        <v>121</v>
      </c>
      <c r="D20" s="27" t="n">
        <v>1</v>
      </c>
      <c r="E20" s="25" t="s">
        <v>108</v>
      </c>
      <c r="F20" s="28" t="n">
        <v>0</v>
      </c>
      <c r="G20" s="29" t="n">
        <f aca="false">D20*F20</f>
        <v>0</v>
      </c>
      <c r="H20" s="30" t="n">
        <f aca="false">G20*Inputs!$B$8</f>
        <v>0</v>
      </c>
      <c r="I20" s="31" t="n">
        <v>0</v>
      </c>
      <c r="J20" s="31" t="n">
        <v>0</v>
      </c>
      <c r="K20" s="31" t="n">
        <v>500</v>
      </c>
      <c r="L20" s="30" t="n">
        <f aca="false">SUM(H20:K20)</f>
        <v>500</v>
      </c>
    </row>
    <row r="21" customFormat="false" ht="15" hidden="false" customHeight="false" outlineLevel="0" collapsed="false">
      <c r="A21" s="25" t="s">
        <v>124</v>
      </c>
      <c r="B21" s="25" t="s">
        <v>125</v>
      </c>
      <c r="C21" s="26" t="s">
        <v>126</v>
      </c>
      <c r="D21" s="27" t="n">
        <v>1</v>
      </c>
      <c r="E21" s="25" t="s">
        <v>108</v>
      </c>
      <c r="F21" s="28" t="n">
        <v>0</v>
      </c>
      <c r="G21" s="29" t="n">
        <f aca="false">D21*F21</f>
        <v>0</v>
      </c>
      <c r="H21" s="30" t="n">
        <f aca="false">G21*Inputs!$B$8</f>
        <v>0</v>
      </c>
      <c r="I21" s="31" t="n">
        <v>0</v>
      </c>
      <c r="J21" s="31" t="n">
        <v>0</v>
      </c>
      <c r="K21" s="30" t="n">
        <f aca="false">Inputs!$B$19</f>
        <v>450</v>
      </c>
      <c r="L21" s="30" t="n">
        <f aca="false">SUM(H21:K21)</f>
        <v>450</v>
      </c>
    </row>
    <row r="22" customFormat="false" ht="15" hidden="false" customHeight="false" outlineLevel="0" collapsed="false">
      <c r="A22" s="25" t="s">
        <v>127</v>
      </c>
      <c r="B22" s="25" t="s">
        <v>128</v>
      </c>
      <c r="C22" s="26" t="s">
        <v>114</v>
      </c>
      <c r="D22" s="27" t="n">
        <v>4</v>
      </c>
      <c r="E22" s="25" t="s">
        <v>129</v>
      </c>
      <c r="F22" s="28" t="n">
        <v>0</v>
      </c>
      <c r="G22" s="29" t="n">
        <f aca="false">D22*F22</f>
        <v>0</v>
      </c>
      <c r="H22" s="30" t="n">
        <f aca="false">G22*Inputs!$B$8</f>
        <v>0</v>
      </c>
      <c r="I22" s="31" t="n">
        <v>0</v>
      </c>
      <c r="J22" s="30" t="n">
        <f aca="false">D22*Inputs!$B$13</f>
        <v>2600</v>
      </c>
      <c r="K22" s="31" t="n">
        <v>0</v>
      </c>
      <c r="L22" s="30" t="n">
        <f aca="false">SUM(H22:K22)</f>
        <v>2600</v>
      </c>
    </row>
    <row r="23" customFormat="false" ht="15" hidden="false" customHeight="false" outlineLevel="0" collapsed="false">
      <c r="B23" s="0" t="s">
        <v>130</v>
      </c>
      <c r="G23" s="32" t="n">
        <f aca="false">SUM(G7:G22)</f>
        <v>239.081</v>
      </c>
      <c r="H23" s="33" t="n">
        <f aca="false">MAX(1,ROUNDUP(G23/(Inputs!$B$9*Inputs!$B$10),0))</f>
        <v>5</v>
      </c>
    </row>
    <row r="24" customFormat="false" ht="15" hidden="false" customHeight="false" outlineLevel="0" collapsed="false">
      <c r="B24" s="0" t="s">
        <v>131</v>
      </c>
      <c r="L24" s="34" t="n">
        <f aca="false">SUM(L7:L22)</f>
        <v>16999.8538554</v>
      </c>
    </row>
    <row r="25" customFormat="false" ht="15" hidden="false" customHeight="false" outlineLevel="0" collapsed="false">
      <c r="B25" s="0" t="s">
        <v>132</v>
      </c>
      <c r="L25" s="34" t="n">
        <f aca="false">Inputs!$B$17*H23*(Inputs!$B$18*Inputs!$B$15+Inputs!$B$9*Inputs!$B$16)</f>
        <v>3055</v>
      </c>
    </row>
    <row r="26" customFormat="false" ht="15" hidden="false" customHeight="false" outlineLevel="0" collapsed="false">
      <c r="B26" s="0" t="s">
        <v>133</v>
      </c>
      <c r="L26" s="34" t="n">
        <f aca="false">L24*Inputs!$B$12</f>
        <v>849.99269277</v>
      </c>
    </row>
    <row r="27" customFormat="false" ht="15" hidden="false" customHeight="false" outlineLevel="0" collapsed="false">
      <c r="B27" s="0" t="s">
        <v>134</v>
      </c>
      <c r="L27" s="34" t="n">
        <f aca="false">Inputs!$B$11*H23</f>
        <v>5000</v>
      </c>
    </row>
    <row r="28" customFormat="false" ht="15" hidden="false" customHeight="false" outlineLevel="0" collapsed="false">
      <c r="B28" s="35" t="s">
        <v>135</v>
      </c>
      <c r="C28" s="36"/>
      <c r="D28" s="36"/>
      <c r="E28" s="36"/>
      <c r="F28" s="36"/>
      <c r="G28" s="36"/>
      <c r="H28" s="36"/>
      <c r="I28" s="36"/>
      <c r="J28" s="36"/>
      <c r="K28" s="36"/>
      <c r="L28" s="37" t="n">
        <f aca="false">ROUNDUP(SUM(L24:L27),-1)</f>
        <v>25910</v>
      </c>
    </row>
    <row r="30" customFormat="false" ht="15" hidden="false" customHeight="false" outlineLevel="0" collapsed="false">
      <c r="A30" s="23" t="s">
        <v>136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</row>
    <row r="31" customFormat="false" ht="15" hidden="false" customHeight="false" outlineLevel="0" collapsed="false">
      <c r="A31" s="25" t="s">
        <v>137</v>
      </c>
      <c r="B31" s="25" t="s">
        <v>138</v>
      </c>
      <c r="C31" s="26" t="s">
        <v>139</v>
      </c>
      <c r="D31" s="27" t="n">
        <v>4597</v>
      </c>
      <c r="E31" s="25" t="s">
        <v>84</v>
      </c>
      <c r="F31" s="28" t="n">
        <v>0.015</v>
      </c>
      <c r="G31" s="29" t="n">
        <f aca="false">D31*F31</f>
        <v>68.955</v>
      </c>
      <c r="H31" s="30" t="n">
        <f aca="false">G31*Inputs!$B$8</f>
        <v>3763.798347</v>
      </c>
      <c r="I31" s="31" t="n">
        <v>1400</v>
      </c>
      <c r="J31" s="31" t="n">
        <v>0</v>
      </c>
      <c r="K31" s="31" t="n">
        <v>0</v>
      </c>
      <c r="L31" s="30" t="n">
        <f aca="false">SUM(H31:K31)</f>
        <v>5163.798347</v>
      </c>
    </row>
    <row r="32" customFormat="false" ht="15" hidden="false" customHeight="false" outlineLevel="0" collapsed="false">
      <c r="A32" s="25" t="s">
        <v>140</v>
      </c>
      <c r="B32" s="25" t="s">
        <v>141</v>
      </c>
      <c r="C32" s="26" t="s">
        <v>121</v>
      </c>
      <c r="D32" s="27" t="n">
        <v>1</v>
      </c>
      <c r="E32" s="25" t="s">
        <v>129</v>
      </c>
      <c r="F32" s="28" t="n">
        <v>0</v>
      </c>
      <c r="G32" s="29" t="n">
        <f aca="false">D32*F32</f>
        <v>0</v>
      </c>
      <c r="H32" s="30" t="n">
        <f aca="false">G32*Inputs!$B$8</f>
        <v>0</v>
      </c>
      <c r="I32" s="31" t="n">
        <v>0</v>
      </c>
      <c r="J32" s="30" t="n">
        <f aca="false">D32*Inputs!$B$13</f>
        <v>650</v>
      </c>
      <c r="K32" s="31" t="n">
        <v>0</v>
      </c>
      <c r="L32" s="30" t="n">
        <f aca="false">SUM(H32:K32)</f>
        <v>650</v>
      </c>
    </row>
    <row r="33" customFormat="false" ht="15" hidden="false" customHeight="false" outlineLevel="0" collapsed="false">
      <c r="B33" s="0" t="s">
        <v>142</v>
      </c>
      <c r="G33" s="32" t="n">
        <f aca="false">SUM(G31:G32)</f>
        <v>68.955</v>
      </c>
      <c r="H33" s="33" t="n">
        <f aca="false">MAX(1,ROUNDUP(G33/(Inputs!$B$9*Inputs!$B$10),0))</f>
        <v>2</v>
      </c>
    </row>
    <row r="34" customFormat="false" ht="15" hidden="false" customHeight="false" outlineLevel="0" collapsed="false">
      <c r="B34" s="0" t="s">
        <v>131</v>
      </c>
      <c r="L34" s="34" t="n">
        <f aca="false">SUM(L31:L32)</f>
        <v>5813.798347</v>
      </c>
    </row>
    <row r="35" customFormat="false" ht="15" hidden="false" customHeight="false" outlineLevel="0" collapsed="false">
      <c r="B35" s="0" t="s">
        <v>132</v>
      </c>
      <c r="L35" s="34" t="n">
        <f aca="false">Inputs!$B$17*H33*(Inputs!$B$18*Inputs!$B$15+Inputs!$B$9*Inputs!$B$16)</f>
        <v>1222</v>
      </c>
    </row>
    <row r="36" customFormat="false" ht="15" hidden="false" customHeight="false" outlineLevel="0" collapsed="false">
      <c r="B36" s="0" t="s">
        <v>133</v>
      </c>
      <c r="L36" s="34" t="n">
        <f aca="false">L34*Inputs!$B$12</f>
        <v>290.68991735</v>
      </c>
    </row>
    <row r="37" customFormat="false" ht="15" hidden="false" customHeight="false" outlineLevel="0" collapsed="false">
      <c r="B37" s="0" t="s">
        <v>134</v>
      </c>
      <c r="L37" s="34" t="n">
        <f aca="false">Inputs!$B$11*H33</f>
        <v>2000</v>
      </c>
    </row>
    <row r="38" customFormat="false" ht="15" hidden="false" customHeight="false" outlineLevel="0" collapsed="false">
      <c r="B38" s="35" t="s">
        <v>143</v>
      </c>
      <c r="C38" s="36"/>
      <c r="D38" s="36"/>
      <c r="E38" s="36"/>
      <c r="F38" s="36"/>
      <c r="G38" s="36"/>
      <c r="H38" s="36"/>
      <c r="I38" s="36"/>
      <c r="J38" s="36"/>
      <c r="K38" s="36"/>
      <c r="L38" s="37" t="n">
        <f aca="false">ROUNDUP(SUM(L34:L37),-1)</f>
        <v>9330</v>
      </c>
    </row>
    <row r="40" customFormat="false" ht="15" hidden="false" customHeight="false" outlineLevel="0" collapsed="false">
      <c r="A40" s="23" t="s">
        <v>144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</row>
    <row r="41" customFormat="false" ht="15" hidden="false" customHeight="false" outlineLevel="0" collapsed="false">
      <c r="A41" s="25" t="s">
        <v>145</v>
      </c>
      <c r="B41" s="25" t="s">
        <v>146</v>
      </c>
      <c r="C41" s="26" t="s">
        <v>147</v>
      </c>
      <c r="D41" s="27" t="n">
        <v>170</v>
      </c>
      <c r="E41" s="25" t="s">
        <v>98</v>
      </c>
      <c r="F41" s="28" t="n">
        <v>0.06</v>
      </c>
      <c r="G41" s="29" t="n">
        <f aca="false">D41*F41</f>
        <v>10.2</v>
      </c>
      <c r="H41" s="30" t="n">
        <f aca="false">G41*Inputs!$B$8</f>
        <v>556.75068</v>
      </c>
      <c r="I41" s="31" t="n">
        <v>350</v>
      </c>
      <c r="J41" s="31" t="n">
        <v>0</v>
      </c>
      <c r="K41" s="31" t="n">
        <v>0</v>
      </c>
      <c r="L41" s="30" t="n">
        <f aca="false">SUM(H41:K41)</f>
        <v>906.75068</v>
      </c>
    </row>
    <row r="42" customFormat="false" ht="15" hidden="false" customHeight="false" outlineLevel="0" collapsed="false">
      <c r="A42" s="25" t="s">
        <v>148</v>
      </c>
      <c r="B42" s="25" t="s">
        <v>149</v>
      </c>
      <c r="C42" s="26" t="s">
        <v>150</v>
      </c>
      <c r="D42" s="27" t="n">
        <v>170</v>
      </c>
      <c r="E42" s="25" t="s">
        <v>84</v>
      </c>
      <c r="F42" s="28" t="n">
        <v>0.05</v>
      </c>
      <c r="G42" s="29" t="n">
        <f aca="false">D42*F42</f>
        <v>8.5</v>
      </c>
      <c r="H42" s="30" t="n">
        <f aca="false">G42*Inputs!$B$8</f>
        <v>463.9589</v>
      </c>
      <c r="I42" s="31" t="n">
        <v>0</v>
      </c>
      <c r="J42" s="31" t="n">
        <v>0</v>
      </c>
      <c r="K42" s="31" t="n">
        <v>0</v>
      </c>
      <c r="L42" s="30" t="n">
        <f aca="false">SUM(H42:K42)</f>
        <v>463.9589</v>
      </c>
    </row>
    <row r="43" customFormat="false" ht="15" hidden="false" customHeight="false" outlineLevel="0" collapsed="false">
      <c r="A43" s="25" t="s">
        <v>151</v>
      </c>
      <c r="B43" s="25" t="s">
        <v>152</v>
      </c>
      <c r="C43" s="26" t="s">
        <v>121</v>
      </c>
      <c r="D43" s="27" t="n">
        <v>1</v>
      </c>
      <c r="E43" s="25" t="s">
        <v>129</v>
      </c>
      <c r="F43" s="28" t="n">
        <v>0</v>
      </c>
      <c r="G43" s="29" t="n">
        <f aca="false">D43*F43</f>
        <v>0</v>
      </c>
      <c r="H43" s="30" t="n">
        <f aca="false">G43*Inputs!$B$8</f>
        <v>0</v>
      </c>
      <c r="I43" s="31" t="n">
        <v>0</v>
      </c>
      <c r="J43" s="30" t="n">
        <f aca="false">D43*Inputs!$B$14</f>
        <v>550</v>
      </c>
      <c r="K43" s="31" t="n">
        <v>0</v>
      </c>
      <c r="L43" s="30" t="n">
        <f aca="false">SUM(H43:K43)</f>
        <v>550</v>
      </c>
    </row>
    <row r="44" customFormat="false" ht="15" hidden="false" customHeight="false" outlineLevel="0" collapsed="false">
      <c r="B44" s="0" t="s">
        <v>153</v>
      </c>
      <c r="G44" s="32" t="n">
        <f aca="false">SUM(G41:G43)</f>
        <v>18.7</v>
      </c>
      <c r="H44" s="33" t="n">
        <f aca="false">MAX(1,ROUNDUP(G44/(Inputs!$B$9*Inputs!$B$10),0))</f>
        <v>1</v>
      </c>
    </row>
    <row r="45" customFormat="false" ht="15" hidden="false" customHeight="false" outlineLevel="0" collapsed="false">
      <c r="B45" s="0" t="s">
        <v>131</v>
      </c>
      <c r="L45" s="34" t="n">
        <f aca="false">SUM(L41:L43)</f>
        <v>1920.70958</v>
      </c>
    </row>
    <row r="46" customFormat="false" ht="15" hidden="false" customHeight="false" outlineLevel="0" collapsed="false">
      <c r="B46" s="0" t="s">
        <v>132</v>
      </c>
      <c r="L46" s="34" t="n">
        <f aca="false">Inputs!$B$17*H44*(Inputs!$B$18*Inputs!$B$15+Inputs!$B$9*Inputs!$B$16)</f>
        <v>611</v>
      </c>
    </row>
    <row r="47" customFormat="false" ht="15" hidden="false" customHeight="false" outlineLevel="0" collapsed="false">
      <c r="B47" s="0" t="s">
        <v>133</v>
      </c>
      <c r="L47" s="34" t="n">
        <f aca="false">L45*Inputs!$B$12</f>
        <v>96.035479</v>
      </c>
    </row>
    <row r="48" customFormat="false" ht="15" hidden="false" customHeight="false" outlineLevel="0" collapsed="false">
      <c r="B48" s="0" t="s">
        <v>134</v>
      </c>
      <c r="L48" s="34" t="n">
        <f aca="false">Inputs!$B$11*H44</f>
        <v>1000</v>
      </c>
    </row>
    <row r="49" customFormat="false" ht="15" hidden="false" customHeight="false" outlineLevel="0" collapsed="false">
      <c r="B49" s="35" t="s">
        <v>154</v>
      </c>
      <c r="C49" s="36"/>
      <c r="D49" s="36"/>
      <c r="E49" s="36"/>
      <c r="F49" s="36"/>
      <c r="G49" s="36"/>
      <c r="H49" s="36"/>
      <c r="I49" s="36"/>
      <c r="J49" s="36"/>
      <c r="K49" s="36"/>
      <c r="L49" s="37" t="n">
        <f aca="false">ROUNDUP(SUM(L45:L48),-1)</f>
        <v>3630</v>
      </c>
    </row>
    <row r="51" customFormat="false" ht="15" hidden="false" customHeight="false" outlineLevel="0" collapsed="false">
      <c r="A51" s="23" t="s">
        <v>155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</row>
    <row r="52" customFormat="false" ht="15" hidden="false" customHeight="false" outlineLevel="0" collapsed="false">
      <c r="B52" s="0" t="s">
        <v>3</v>
      </c>
      <c r="H52" s="33" t="n">
        <f aca="false">H23</f>
        <v>5</v>
      </c>
      <c r="L52" s="34" t="n">
        <f aca="false">L28</f>
        <v>25910</v>
      </c>
    </row>
    <row r="53" customFormat="false" ht="15" hidden="false" customHeight="false" outlineLevel="0" collapsed="false">
      <c r="B53" s="0" t="s">
        <v>156</v>
      </c>
      <c r="H53" s="33" t="n">
        <f aca="false">H33</f>
        <v>2</v>
      </c>
      <c r="L53" s="34" t="n">
        <f aca="false">L38</f>
        <v>9330</v>
      </c>
    </row>
    <row r="54" customFormat="false" ht="15" hidden="false" customHeight="false" outlineLevel="0" collapsed="false">
      <c r="B54" s="0" t="s">
        <v>157</v>
      </c>
      <c r="H54" s="33" t="n">
        <f aca="false">H44</f>
        <v>1</v>
      </c>
      <c r="L54" s="34" t="n">
        <f aca="false">L49</f>
        <v>3630</v>
      </c>
    </row>
    <row r="55" customFormat="false" ht="15" hidden="false" customHeight="false" outlineLevel="0" collapsed="false">
      <c r="B55" s="35" t="s">
        <v>158</v>
      </c>
      <c r="C55" s="36"/>
      <c r="D55" s="36"/>
      <c r="E55" s="36"/>
      <c r="F55" s="36"/>
      <c r="G55" s="36"/>
      <c r="H55" s="36"/>
      <c r="I55" s="36"/>
      <c r="J55" s="36"/>
      <c r="K55" s="36"/>
      <c r="L55" s="37" t="n">
        <f aca="false">SUM(L52:L54)</f>
        <v>38870</v>
      </c>
    </row>
    <row r="57" customFormat="false" ht="15" hidden="false" customHeight="false" outlineLevel="0" collapsed="false">
      <c r="A57" s="23" t="s">
        <v>159</v>
      </c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</row>
    <row r="58" customFormat="false" ht="35.05" hidden="false" customHeight="false" outlineLevel="0" collapsed="false">
      <c r="B58" s="9" t="s">
        <v>160</v>
      </c>
      <c r="C58" s="22" t="s">
        <v>161</v>
      </c>
      <c r="D58" s="22" t="s">
        <v>75</v>
      </c>
      <c r="E58" s="22" t="s">
        <v>162</v>
      </c>
      <c r="F58" s="22" t="s">
        <v>77</v>
      </c>
      <c r="G58" s="22" t="s">
        <v>163</v>
      </c>
      <c r="H58" s="22" t="s">
        <v>164</v>
      </c>
      <c r="I58" s="22" t="s">
        <v>165</v>
      </c>
      <c r="J58" s="22" t="s">
        <v>166</v>
      </c>
      <c r="K58" s="22" t="s">
        <v>167</v>
      </c>
    </row>
    <row r="59" customFormat="false" ht="15" hidden="false" customHeight="false" outlineLevel="0" collapsed="false">
      <c r="B59" s="5" t="s">
        <v>3</v>
      </c>
      <c r="C59" s="29" t="n">
        <f aca="false">SUM(G7:G22)</f>
        <v>239.081</v>
      </c>
      <c r="D59" s="30" t="n">
        <f aca="false">SUM(H7:H22)</f>
        <v>13049.8538554</v>
      </c>
      <c r="E59" s="30" t="n">
        <f aca="false">SUM(I7:I22)</f>
        <v>400</v>
      </c>
      <c r="F59" s="30" t="n">
        <f aca="false">SUM(J7:J22)</f>
        <v>2600</v>
      </c>
      <c r="G59" s="30" t="n">
        <f aca="false">SUM(K7:K22)</f>
        <v>950</v>
      </c>
      <c r="H59" s="30" t="n">
        <f aca="false">L25</f>
        <v>3055</v>
      </c>
      <c r="I59" s="30" t="n">
        <f aca="false">L26</f>
        <v>849.99269277</v>
      </c>
      <c r="J59" s="30" t="n">
        <f aca="false">L27</f>
        <v>5000</v>
      </c>
      <c r="K59" s="30" t="n">
        <f aca="false">L28</f>
        <v>25910</v>
      </c>
    </row>
    <row r="60" customFormat="false" ht="15" hidden="false" customHeight="false" outlineLevel="0" collapsed="false">
      <c r="B60" s="5" t="s">
        <v>156</v>
      </c>
      <c r="C60" s="29" t="n">
        <f aca="false">SUM(G31:G32)</f>
        <v>68.955</v>
      </c>
      <c r="D60" s="30" t="n">
        <f aca="false">SUM(H31:H32)</f>
        <v>3763.798347</v>
      </c>
      <c r="E60" s="30" t="n">
        <f aca="false">SUM(I31:I32)</f>
        <v>1400</v>
      </c>
      <c r="F60" s="30" t="n">
        <f aca="false">SUM(J31:J32)</f>
        <v>650</v>
      </c>
      <c r="G60" s="30" t="n">
        <f aca="false">SUM(K31:K32)</f>
        <v>0</v>
      </c>
      <c r="H60" s="30" t="n">
        <f aca="false">L35</f>
        <v>1222</v>
      </c>
      <c r="I60" s="30" t="n">
        <f aca="false">L36</f>
        <v>290.68991735</v>
      </c>
      <c r="J60" s="30" t="n">
        <f aca="false">L37</f>
        <v>2000</v>
      </c>
      <c r="K60" s="30" t="n">
        <f aca="false">L38</f>
        <v>9330</v>
      </c>
    </row>
    <row r="61" customFormat="false" ht="15" hidden="false" customHeight="false" outlineLevel="0" collapsed="false">
      <c r="B61" s="5" t="s">
        <v>157</v>
      </c>
      <c r="C61" s="29" t="n">
        <f aca="false">SUM(G41:G43)</f>
        <v>18.7</v>
      </c>
      <c r="D61" s="30" t="n">
        <f aca="false">SUM(H41:H43)</f>
        <v>1020.70958</v>
      </c>
      <c r="E61" s="30" t="n">
        <f aca="false">SUM(I41:I43)</f>
        <v>350</v>
      </c>
      <c r="F61" s="30" t="n">
        <f aca="false">SUM(J41:J43)</f>
        <v>550</v>
      </c>
      <c r="G61" s="30" t="n">
        <f aca="false">SUM(K41:K43)</f>
        <v>0</v>
      </c>
      <c r="H61" s="30" t="n">
        <f aca="false">L46</f>
        <v>611</v>
      </c>
      <c r="I61" s="30" t="n">
        <f aca="false">L47</f>
        <v>96.035479</v>
      </c>
      <c r="J61" s="30" t="n">
        <f aca="false">L48</f>
        <v>1000</v>
      </c>
      <c r="K61" s="30" t="n">
        <f aca="false">L49</f>
        <v>3630</v>
      </c>
    </row>
    <row r="62" customFormat="false" ht="15" hidden="false" customHeight="false" outlineLevel="0" collapsed="false">
      <c r="B62" s="2" t="s">
        <v>168</v>
      </c>
      <c r="D62" s="38" t="n">
        <f aca="false">IF($K59=0,0,D59/$K59)</f>
        <v>0.503660897545349</v>
      </c>
      <c r="E62" s="38" t="n">
        <f aca="false">IF($K59=0,0,E59/$K59)</f>
        <v>0.0154380548050946</v>
      </c>
      <c r="F62" s="38" t="n">
        <f aca="false">IF($K59=0,0,F59/$K59)</f>
        <v>0.100347356233115</v>
      </c>
      <c r="G62" s="38" t="n">
        <f aca="false">IF($K59=0,0,G59/$K59)</f>
        <v>0.0366653801620996</v>
      </c>
      <c r="H62" s="38" t="n">
        <f aca="false">IF($K59=0,0,H59/$K59)</f>
        <v>0.11790814357391</v>
      </c>
      <c r="I62" s="38" t="n">
        <f aca="false">IF($K59=0,0,I59/$K59)</f>
        <v>0.0328055844372829</v>
      </c>
      <c r="J62" s="38" t="n">
        <f aca="false">IF($K59=0,0,J59/$K59)</f>
        <v>0.192975685063682</v>
      </c>
      <c r="K62" s="38" t="n">
        <f aca="false">IF($K59=0,0,K59/$K59)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1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1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2026-10-28T14:25:03Z</dcterms:created>
  <dc:creator>openpyxl</dc:creator>
  <dc:description/>
  <dc:language>en-US</dc:language>
  <cp:lastModifiedBy/>
  <dcterms:modified xsi:type="dcterms:W3CDTF">2026-10-28T14:25:03Z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
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d Breakout" sheetId="1" state="visible" r:id="rId3"/>
    <sheet name="Inputs" sheetId="2" state="visible" r:id="rId4"/>
    <sheet name="Scope of Wor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16 WC + 16 lav + 2 combo; chase-mounted stainless</t>
        </r>
      </text>
    </comment>
    <comment ref="B9" authorId="0">
      <text>
        <r>
          <rPr>
            <sz val="10"/>
            <rFont val="Arial"/>
            <family val="2"/>
          </rPr>
          <t xml:space="preserve">Hatch area F +/-535 SF, G +/-530 SF</t>
        </r>
      </text>
    </comment>
    <comment ref="B11" authorId="0">
      <text>
        <r>
          <rPr>
            <sz val="10"/>
            <rFont val="Arial"/>
            <family val="2"/>
          </rPr>
          <t xml:space="preserve">Roof patch by others</t>
        </r>
      </text>
    </comment>
    <comment ref="B14" authorId="0">
      <text>
        <r>
          <rPr>
            <sz val="10"/>
            <rFont val="Arial"/>
            <family val="2"/>
          </rPr>
          <t xml:space="preserve">After disconnect / make-safe by trades</t>
        </r>
      </text>
    </comment>
    <comment ref="B15" authorId="0">
      <text>
        <r>
          <rPr>
            <sz val="10"/>
            <rFont val="Arial"/>
            <family val="2"/>
          </rPr>
          <t xml:space="preserve">Assumes rigged by hand - no crane</t>
        </r>
      </text>
    </comment>
    <comment ref="B20" authorId="0">
      <text>
        <r>
          <rPr>
            <sz val="10"/>
            <rFont val="Arial"/>
            <family val="2"/>
          </rPr>
          <t xml:space="preserve">23+17+23+17</t>
        </r>
      </text>
    </comment>
    <comment ref="B23" authorId="0">
      <text>
        <r>
          <rPr>
            <sz val="10"/>
            <rFont val="Arial"/>
            <family val="2"/>
          </rPr>
          <t xml:space="preserve">Equip = debris carts / buggies</t>
        </r>
      </text>
    </comment>
    <comment ref="B26" authorId="0">
      <text>
        <r>
          <rPr>
            <sz val="10"/>
            <rFont val="Arial"/>
            <family val="2"/>
          </rPr>
          <t xml:space="preserve">Fixtures, piping, duct, plaster, lights</t>
        </r>
      </text>
    </comment>
    <comment ref="B36" authorId="0">
      <text>
        <r>
          <rPr>
            <sz val="10"/>
            <rFont val="Arial"/>
            <family val="2"/>
          </rPr>
          <t xml:space="preserve">F +/-81 LF, G +/-85 LF</t>
        </r>
      </text>
    </comment>
    <comment ref="B37" authorId="0">
      <text>
        <r>
          <rPr>
            <sz val="10"/>
            <rFont val="Arial"/>
            <family val="2"/>
          </rPr>
          <t xml:space="preserve">Debris carried down stairs</t>
        </r>
      </text>
    </comment>
    <comment ref="B38" authorId="0">
      <text>
        <r>
          <rPr>
            <sz val="10"/>
            <rFont val="Arial"/>
            <family val="2"/>
          </rPr>
          <t xml:space="preserve">Grind 1/2" below slab = Alt #4</t>
        </r>
      </text>
    </comment>
    <comment ref="B65" authorId="0">
      <text>
        <r>
          <rPr>
            <sz val="10"/>
            <rFont val="Arial"/>
            <family val="2"/>
          </rPr>
          <t xml:space="preserve">Lintels / jamb reinf. by others</t>
        </r>
      </text>
    </comment>
    <comment ref="B68" authorId="0">
      <text>
        <r>
          <rPr>
            <sz val="10"/>
            <rFont val="Arial"/>
            <family val="2"/>
          </rPr>
          <t xml:space="preserve">Roof patch / curbs by others</t>
        </r>
      </text>
    </comment>
    <comment ref="B70" authorId="0">
      <text>
        <r>
          <rPr>
            <sz val="10"/>
            <rFont val="Arial"/>
            <family val="2"/>
          </rPr>
          <t xml:space="preserve">Allowance - get scanning quote</t>
        </r>
      </text>
    </comment>
    <comment ref="B90" authorId="0">
      <text>
        <r>
          <rPr>
            <sz val="10"/>
            <rFont val="Arial"/>
            <family val="2"/>
          </rPr>
          <t xml:space="preserve">Equip = 2 NAMs x ~2 wks per unit</t>
        </r>
      </text>
    </comment>
  </commentList>
</comments>
</file>

<file path=xl/sharedStrings.xml><?xml version="1.0" encoding="utf-8"?>
<sst xmlns="http://schemas.openxmlformats.org/spreadsheetml/2006/main" count="313" uniqueCount="258">
  <si>
    <t xml:space="preserve">DISASSEMBLE DYNAMICS, INC. - DEMOLITION BID BREAKOUT</t>
  </si>
  <si>
    <t xml:space="preserve">Orange County Corrections - FDC Isolation Cell Renovations in Units F &amp; G (Solicitation Y25-790-RC) | 3503 Vision Blvd, Orlando FL | 10/27/2026</t>
  </si>
  <si>
    <t xml:space="preserve">Quantities scaled from 100% CDs (05/22/2024) &amp; RFI log thru Add. #32 - verify in field. Blue = input; black = formula.</t>
  </si>
  <si>
    <t xml:space="preserve">#</t>
  </si>
  <si>
    <t xml:space="preserve">Description</t>
  </si>
  <si>
    <t xml:space="preserve">Ref (sheet / keynote)</t>
  </si>
  <si>
    <t xml:space="preserve">Qty</t>
  </si>
  <si>
    <t xml:space="preserve">Unit</t>
  </si>
  <si>
    <t xml:space="preserve">MH / Unit</t>
  </si>
  <si>
    <t xml:space="preserve">Base MH</t>
  </si>
  <si>
    <t xml:space="preserve">Adj MH (w/ security)</t>
  </si>
  <si>
    <t xml:space="preserve">Labor $</t>
  </si>
  <si>
    <t xml:space="preserve">Equip / Rental $</t>
  </si>
  <si>
    <t xml:space="preserve">Disposal $</t>
  </si>
  <si>
    <t xml:space="preserve">Material / Other $</t>
  </si>
  <si>
    <t xml:space="preserve">Direct Cost $</t>
  </si>
  <si>
    <t xml:space="preserve">BASE BID - SELECTIVE DEMOLITION (ARCHITECTURAL, MECHANICAL, PLUMBING, FIRE PROTECTION, ELECTRICAL, FIRE ALARM)</t>
  </si>
  <si>
    <t xml:space="preserve">B1</t>
  </si>
  <si>
    <t xml:space="preserve">Remove detention plumbing fixtures &amp; all accessories (WC, lav, combo fixture)</t>
  </si>
  <si>
    <t xml:space="preserve">AD201F/G D07; PD111F/G KN1</t>
  </si>
  <si>
    <t xml:space="preserve">EA</t>
  </si>
  <si>
    <t xml:space="preserve">B2</t>
  </si>
  <si>
    <t xml:space="preserve">Remove restroom / shower partitions &amp; shower drains</t>
  </si>
  <si>
    <t xml:space="preserve">AD201F/G D04; PD111F/G KN3</t>
  </si>
  <si>
    <t xml:space="preserve">LS</t>
  </si>
  <si>
    <t xml:space="preserve">B3</t>
  </si>
  <si>
    <t xml:space="preserve">Remove existing plaster ceiling (incl. security mesh where present)</t>
  </si>
  <si>
    <t xml:space="preserve">AD201F/G legend; RFI #29</t>
  </si>
  <si>
    <t xml:space="preserve">SF</t>
  </si>
  <si>
    <t xml:space="preserve">B4</t>
  </si>
  <si>
    <t xml:space="preserve">Remove door, frame &amp; all accessories</t>
  </si>
  <si>
    <t xml:space="preserve">AD201F D09</t>
  </si>
  <si>
    <t xml:space="preserve">B5</t>
  </si>
  <si>
    <t xml:space="preserve">Remove above-slab sanitary/vent piping incl. 4" line to VTR &amp; VTR</t>
  </si>
  <si>
    <t xml:space="preserve">PD111F/G KN1, KN5</t>
  </si>
  <si>
    <t xml:space="preserve">LF</t>
  </si>
  <si>
    <t xml:space="preserve">B6</t>
  </si>
  <si>
    <t xml:space="preserve">Remove domestic piping, valves &amp; controls in chases / walls</t>
  </si>
  <si>
    <t xml:space="preserve">PD112F/G KN2</t>
  </si>
  <si>
    <t xml:space="preserve">B7</t>
  </si>
  <si>
    <t xml:space="preserve">Remove surface-mounted SS pipe enclosures (entire) &amp; valve control cabinet</t>
  </si>
  <si>
    <t xml:space="preserve">PD112F/G KN1, KN3</t>
  </si>
  <si>
    <t xml:space="preserve">B8</t>
  </si>
  <si>
    <t xml:space="preserve">Remove AHU + supply &amp; OA ductwork as req'd for new AHU</t>
  </si>
  <si>
    <t xml:space="preserve">MD111F/G KN2; ED111G KN2</t>
  </si>
  <si>
    <t xml:space="preserve">B9</t>
  </si>
  <si>
    <t xml:space="preserve">Remove RTU + return duct transition (piping disconnected by mech)</t>
  </si>
  <si>
    <t xml:space="preserve">MD112F/G KN2</t>
  </si>
  <si>
    <t xml:space="preserve">B10</t>
  </si>
  <si>
    <t xml:space="preserve">Remove roof exhaust / supply fans (curbs &amp; security bars remain)</t>
  </si>
  <si>
    <t xml:space="preserve">MD113F/G KN1-3</t>
  </si>
  <si>
    <t xml:space="preserve">B11</t>
  </si>
  <si>
    <t xml:space="preserve">Remove ductwork, 12x12 exhaust duct, supply &amp; return grilles, hangers</t>
  </si>
  <si>
    <t xml:space="preserve">MD111F/G, MD112F/G</t>
  </si>
  <si>
    <t xml:space="preserve">B12</t>
  </si>
  <si>
    <t xml:space="preserve">Remove 2" CHWS&amp;R piping back to 3" reducer (supports remain)</t>
  </si>
  <si>
    <t xml:space="preserve">MD111G KN3</t>
  </si>
  <si>
    <t xml:space="preserve">B13</t>
  </si>
  <si>
    <t xml:space="preserve">Remove sprinkler branch piping &amp; heads (after drain-down by FP)</t>
  </si>
  <si>
    <t xml:space="preserve">FPD111, FPD112</t>
  </si>
  <si>
    <t xml:space="preserve">B14</t>
  </si>
  <si>
    <t xml:space="preserve">Remove light fixtures</t>
  </si>
  <si>
    <t xml:space="preserve">ED111F/G, ED112F/G</t>
  </si>
  <si>
    <t xml:space="preserve">B15</t>
  </si>
  <si>
    <t xml:space="preserve">Remove AHU / EF disconnects, devices, conduit &amp; wire back to nearest J-box</t>
  </si>
  <si>
    <t xml:space="preserve">ED111G, ED112G, ED113F/G; ED Gen. Note 2</t>
  </si>
  <si>
    <t xml:space="preserve">B16</t>
  </si>
  <si>
    <t xml:space="preserve">Remove fire alarm devices (system kept live by FA contractor)</t>
  </si>
  <si>
    <t xml:space="preserve">FAD111F/G, FAD112F/G</t>
  </si>
  <si>
    <t xml:space="preserve">B17</t>
  </si>
  <si>
    <t xml:space="preserve">Debris carry-down from Level 2 (no elevator), daily haul-out, tool / debris accounting</t>
  </si>
  <si>
    <t xml:space="preserve">RFI #40, #43; 01 1100 1.9</t>
  </si>
  <si>
    <t xml:space="preserve">B18</t>
  </si>
  <si>
    <t xml:space="preserve">Dust &amp; noise control: tacky mats, poly at openings, HEPA vacs, broom clean nightly</t>
  </si>
  <si>
    <t xml:space="preserve">02 4113 1.4.G; AD201 Gen. Note W</t>
  </si>
  <si>
    <t xml:space="preserve">B19</t>
  </si>
  <si>
    <t xml:space="preserve">Security onboarding: FDLE Level 1 checks &amp; badging / orientation</t>
  </si>
  <si>
    <t xml:space="preserve">01 1100 1.9</t>
  </si>
  <si>
    <t xml:space="preserve">B20</t>
  </si>
  <si>
    <t xml:space="preserve">C&amp;D debris disposal - 30 yd dumpsters</t>
  </si>
  <si>
    <t xml:space="preserve">02 4113 3.5</t>
  </si>
  <si>
    <t xml:space="preserve">PULL</t>
  </si>
  <si>
    <t xml:space="preserve">BASE BID - adjusted man-hours</t>
  </si>
  <si>
    <t xml:space="preserve">BASE BID - crew-days (MH / crew / shift)</t>
  </si>
  <si>
    <t xml:space="preserve">Direct cost (labor + equip + disposal + material)</t>
  </si>
  <si>
    <t xml:space="preserve">Lodging &amp; per diem</t>
  </si>
  <si>
    <t xml:space="preserve">Contingency</t>
  </si>
  <si>
    <t xml:space="preserve">Profit ($/crew-day x crew-days)</t>
  </si>
  <si>
    <t xml:space="preserve">BASE BID TOTAL</t>
  </si>
  <si>
    <t xml:space="preserve">ALTERNATE #1 - CMU WALL REMOVAL (8" SOLID GROUTED)</t>
  </si>
  <si>
    <t xml:space="preserve">A1.1</t>
  </si>
  <si>
    <t xml:space="preserve">Remove 8" solid grouted CMU chase walls - Level 1 (+/-166 LF x 10'-8")</t>
  </si>
  <si>
    <t xml:space="preserve">SD111F/G Note 4; AD201F/G D01</t>
  </si>
  <si>
    <t xml:space="preserve">A1.2</t>
  </si>
  <si>
    <t xml:space="preserve">Remove 8" solid grouted CMU walls - Level 2 (+/-62 LF x 9')</t>
  </si>
  <si>
    <t xml:space="preserve">SD112F/G Note 4; AD202F/G D02</t>
  </si>
  <si>
    <t xml:space="preserve">A1.3</t>
  </si>
  <si>
    <t xml:space="preserve">Cut dowels flush at walls where slab remains</t>
  </si>
  <si>
    <t xml:space="preserve">SD111F/G Note 4; SD501 A1</t>
  </si>
  <si>
    <t xml:space="preserve">A1.4</t>
  </si>
  <si>
    <t xml:space="preserve">Concrete chainsaw / wall saw rental + blades/chains</t>
  </si>
  <si>
    <t xml:space="preserve">-</t>
  </si>
  <si>
    <t xml:space="preserve">DAY</t>
  </si>
  <si>
    <t xml:space="preserve">A1.5</t>
  </si>
  <si>
    <t xml:space="preserve">CMU disposal - 20 yd concrete dumpsters (+/-93 tons)</t>
  </si>
  <si>
    <t xml:space="preserve">ALTERNATE #1 - adjusted man-hours</t>
  </si>
  <si>
    <t xml:space="preserve">ALTERNATE #1 - crew-days (MH / crew / shift)</t>
  </si>
  <si>
    <t xml:space="preserve">ALTERNATE #1 TOTAL</t>
  </si>
  <si>
    <t xml:space="preserve">ALTERNATE #2 - SLAB-ON-GRADE, THICKENED SLAB &amp; FOOTING REMOVAL</t>
  </si>
  <si>
    <t xml:space="preserve">A2.1</t>
  </si>
  <si>
    <t xml:space="preserve">Sawcut slab-on-grade perimeter (4" SOG)</t>
  </si>
  <si>
    <t xml:space="preserve">SD111F/G Notes 3; AD D11, D13</t>
  </si>
  <si>
    <t xml:space="preserve">A2.2</t>
  </si>
  <si>
    <t xml:space="preserve">Break &amp; remove 4" slab-on-grade</t>
  </si>
  <si>
    <t xml:space="preserve">SD111F/G (F +/-555 SF, G +/-569 SF)</t>
  </si>
  <si>
    <t xml:space="preserve">A2.3</t>
  </si>
  <si>
    <t xml:space="preserve">Remove thickened slab, footings &amp; cont. bars at chase walls</t>
  </si>
  <si>
    <t xml:space="preserve">SD501 A4, A6</t>
  </si>
  <si>
    <t xml:space="preserve">CY</t>
  </si>
  <si>
    <t xml:space="preserve">A2.4</t>
  </si>
  <si>
    <t xml:space="preserve">Walk-behind slab saw + electric breakers rental, blades</t>
  </si>
  <si>
    <t xml:space="preserve">A2.5</t>
  </si>
  <si>
    <t xml:space="preserve">Concrete disposal - 20 yd dumpsters (+/-44 tons)</t>
  </si>
  <si>
    <t xml:space="preserve">ALTERNATE #2 - adjusted man-hours</t>
  </si>
  <si>
    <t xml:space="preserve">ALTERNATE #2 - crew-days (MH / crew / shift)</t>
  </si>
  <si>
    <t xml:space="preserve">ALTERNATE #2 TOTAL</t>
  </si>
  <si>
    <t xml:space="preserve">ALTERNATE #3 - CONCRETE / PRECAST CUTTING, CORING &amp; OPENINGS</t>
  </si>
  <si>
    <t xml:space="preserve">A3.1</t>
  </si>
  <si>
    <t xml:space="preserve">Wall / slab cuts for new plumbing</t>
  </si>
  <si>
    <t xml:space="preserve">AD201F D03 (4), AD201G (3), AD202F/G (2)</t>
  </si>
  <si>
    <t xml:space="preserve">A3.2</t>
  </si>
  <si>
    <t xml:space="preserve">Partial CMU wall demo for new door opening</t>
  </si>
  <si>
    <t xml:space="preserve">AD201F D10</t>
  </si>
  <si>
    <t xml:space="preserve">A3.3</t>
  </si>
  <si>
    <t xml:space="preserve">12" deep openings in existing 10" precast wall panels</t>
  </si>
  <si>
    <t xml:space="preserve">SD111F/G, SD112F/G, SD501 1</t>
  </si>
  <si>
    <t xml:space="preserve">A3.4</t>
  </si>
  <si>
    <t xml:space="preserve">Precast mezzanine slab openings at duct (max 9"x9")</t>
  </si>
  <si>
    <t xml:space="preserve">SD112F/G</t>
  </si>
  <si>
    <t xml:space="preserve">A3.5</t>
  </si>
  <si>
    <t xml:space="preserve">Holes in prestressed precast roof panels (max 9"x9") + metal deck opening</t>
  </si>
  <si>
    <t xml:space="preserve">SD121; SD501 1</t>
  </si>
  <si>
    <t xml:space="preserve">A3.6</t>
  </si>
  <si>
    <t xml:space="preserve">Core drill / wall saw rental</t>
  </si>
  <si>
    <t xml:space="preserve">A3.7</t>
  </si>
  <si>
    <t xml:space="preserve">GPR / X-ray scanning sub (load-bearing &amp; prestressed elements)</t>
  </si>
  <si>
    <t xml:space="preserve">RFI #32; S502; 01 7329</t>
  </si>
  <si>
    <t xml:space="preserve">ALTERNATE #3 - adjusted man-hours</t>
  </si>
  <si>
    <t xml:space="preserve">ALTERNATE #3 - crew-days (MH / crew / shift)</t>
  </si>
  <si>
    <t xml:space="preserve">ALTERNATE #3 TOTAL</t>
  </si>
  <si>
    <t xml:space="preserve">ALTERNATE #4 - GRIND DOWELS 1/2" BELOW TOP OF SLAB</t>
  </si>
  <si>
    <t xml:space="preserve">A4.1</t>
  </si>
  <si>
    <t xml:space="preserve">Grind dowels / wall base 1/2" min below slab (repair by others)</t>
  </si>
  <si>
    <t xml:space="preserve">SD111F/G Note 4</t>
  </si>
  <si>
    <t xml:space="preserve">ALTERNATE #4 - adjusted man-hours</t>
  </si>
  <si>
    <t xml:space="preserve">ALTERNATE #4 - crew-days (MH / crew / shift)</t>
  </si>
  <si>
    <t xml:space="preserve">ALTERNATE #4 TOTAL</t>
  </si>
  <si>
    <t xml:space="preserve">ALTERNATE #5 - NEGATIVE AIR &amp; FULL-HEIGHT DUST CONTAINMENT</t>
  </si>
  <si>
    <t xml:space="preserve">A5.1</t>
  </si>
  <si>
    <t xml:space="preserve">Negative air machines (2) + full-height poly containment per unit</t>
  </si>
  <si>
    <t xml:space="preserve">02 4113 1.4.G; Gen. Note W</t>
  </si>
  <si>
    <t xml:space="preserve">UNIT</t>
  </si>
  <si>
    <t xml:space="preserve">ALTERNATE #5 - adjusted man-hours</t>
  </si>
  <si>
    <t xml:space="preserve">ALTERNATE #5 - crew-days (MH / crew / shift)</t>
  </si>
  <si>
    <t xml:space="preserve">ALTERNATE #5 TOTAL</t>
  </si>
  <si>
    <t xml:space="preserve">BID SUMMARY</t>
  </si>
  <si>
    <t xml:space="preserve">Item</t>
  </si>
  <si>
    <t xml:space="preserve">Crew-days</t>
  </si>
  <si>
    <t xml:space="preserve">Price</t>
  </si>
  <si>
    <t xml:space="preserve">Base Bid - Selective Demolition (non-concrete / non-masonry)</t>
  </si>
  <si>
    <t xml:space="preserve">Alt #1 - CMU WALL REMOVAL (8" SOLID GROUTED)</t>
  </si>
  <si>
    <t xml:space="preserve">Alt #2 - SLAB-ON-GRADE, THICKENED SLAB &amp; FOOTING REMOVAL</t>
  </si>
  <si>
    <t xml:space="preserve">Alt #3 - CONCRETE / PRECAST CUTTING, CORING &amp; OPENINGS</t>
  </si>
  <si>
    <t xml:space="preserve">Alt #4 - GRIND DOWELS 1/2" BELOW TOP OF SLAB</t>
  </si>
  <si>
    <t xml:space="preserve">Alt #5 - NEGATIVE AIR &amp; FULL-HEIGHT DUST CONTAINMENT</t>
  </si>
  <si>
    <t xml:space="preserve">BASE BID + ALL ALTERNATES</t>
  </si>
  <si>
    <t xml:space="preserve">Unit-price check: Alt #1 CMU price / CMU SF</t>
  </si>
  <si>
    <t xml:space="preserve">vs. Shawn's $18-24/SF reinforced non-bearing range</t>
  </si>
  <si>
    <t xml:space="preserve">FDC Isolation Cell Renovations - Units F &amp; G | Demolition Bid Inputs</t>
  </si>
  <si>
    <t xml:space="preserve">Blue = editable input. Yellow = key assumption to confirm. All costs flow to 'Bid Breakout'.</t>
  </si>
  <si>
    <t xml:space="preserve">Input</t>
  </si>
  <si>
    <t xml:space="preserve">Value</t>
  </si>
  <si>
    <t xml:space="preserve">Source / note</t>
  </si>
  <si>
    <t xml:space="preserve">Labor rate ($/MH, flat - no night uptick)</t>
  </si>
  <si>
    <t xml:space="preserve">Shawn standing input: $25/hr flat</t>
  </si>
  <si>
    <t xml:space="preserve">Crew size (men)</t>
  </si>
  <si>
    <t xml:space="preserve">Night crew</t>
  </si>
  <si>
    <t xml:space="preserve">Shift length (hrs)</t>
  </si>
  <si>
    <t xml:space="preserve">Base bid = night work Mon-Fri (01 2300); 01 1100 1.7.A daytime hrs = Alt No. 1</t>
  </si>
  <si>
    <t xml:space="preserve">Security / productivity factor on labor</t>
  </si>
  <si>
    <t xml:space="preserve">Escorts, vestibules, tool &amp; debris accounting, no storage after hours (01 1100 1.9, RFI #43)</t>
  </si>
  <si>
    <t xml:space="preserve">Profit ($ per crew-day)</t>
  </si>
  <si>
    <t xml:space="preserve">Shawn standing input: $1,000/day</t>
  </si>
  <si>
    <t xml:space="preserve">Contingency (% of direct cost)</t>
  </si>
  <si>
    <t xml:space="preserve">Shawn standing input: 5%</t>
  </si>
  <si>
    <t xml:space="preserve">C&amp;D dumpster ($/pull)</t>
  </si>
  <si>
    <t xml:space="preserve">Orlando independent bldg rule $350/pull - confirm hauler can service FDC secure lot</t>
  </si>
  <si>
    <t xml:space="preserve">Concrete/CMU dumpster ($/pull, 20 yd)</t>
  </si>
  <si>
    <t xml:space="preserve">Orlando rate assumed = C&amp;D; ~24 tons per full load</t>
  </si>
  <si>
    <t xml:space="preserve">Lodging ($/night, crew house)</t>
  </si>
  <si>
    <t xml:space="preserve">Lake City to Orlando ~2.5 hrs each way; night shifts</t>
  </si>
  <si>
    <t xml:space="preserve">Per diem ($/man/day)</t>
  </si>
  <si>
    <t xml:space="preserve">Shawn standing input</t>
  </si>
  <si>
    <t xml:space="preserve">Include lodging &amp; per diem? (1 = yes, 0 = no)</t>
  </si>
  <si>
    <t xml:space="preserve">Set to 0 if crew commutes</t>
  </si>
  <si>
    <t xml:space="preserve">FDLE Level 1 background check ($/man)</t>
  </si>
  <si>
    <t xml:space="preserve">01 1100 1.9 - contractor pays; ~2 wk turnaround (RFI #64)</t>
  </si>
  <si>
    <t xml:space="preserve">DEMOLITION SCOPE OF WORK - FDC Isolation Cell Renovations in Units F &amp; G</t>
  </si>
  <si>
    <t xml:space="preserve">DEMOLITION SCOPE OF WORK</t>
  </si>
  <si>
    <t xml:space="preserve">Remove existing detention plumbing fixtures and all accessories - 16 WC, 16 lavatories, 2 combination fixtures (Plan Note D07, Plumbing Note 1)</t>
  </si>
  <si>
    <t xml:space="preserve">Remove existing restroom / shower partitions and shower drains, Units F &amp; G (Plan Note D04, Plumbing Note 3)</t>
  </si>
  <si>
    <t xml:space="preserve">Remove existing plaster ceilings in hatched areas incl. security mesh where present, +/-1,065 SF (Plan Legend, RFI #29)</t>
  </si>
  <si>
    <t xml:space="preserve">Remove existing door, frame and all accessories, Unit F, 1 EA (Plan Note D09)</t>
  </si>
  <si>
    <t xml:space="preserve">Remove all above-slab sanitary and vent piping in hatched areas incl. 4" sanitary line up to and including the 4" VTR, Units F &amp; G (Plumbing Notes 1, 5)</t>
  </si>
  <si>
    <t xml:space="preserve">Remove all domestic plumbing in chases and walls incl. valves, fixtures and associated controls, surface-mounted stainless steel pipe enclosures in their entirety, and the existing valve control cabinet (Plumbing Notes 1, 2, 3)</t>
  </si>
  <si>
    <t xml:space="preserve">Remove existing AHUs and portions of supply and outdoor air ductwork as required for new AHUs, 2 EA (Mech Note 2, Elec Note 2)</t>
  </si>
  <si>
    <t xml:space="preserve">Remove existing RTUs and return duct transitions after chilled water and condensate piping are disconnected by mechanical, 2 EA (Mech Note 2)</t>
  </si>
  <si>
    <t xml:space="preserve">Remove existing roof exhaust and supply fans, curbs and security bars to remain, 4 EA (Mech Notes 1, 2, 3)</t>
  </si>
  <si>
    <t xml:space="preserve">Remove existing supply / return grilles and associated ductwork, hangers, straps and supports, incl. 12x12 exhaust duct to 2nd floor (Mech Notes 1, 7, 9)</t>
  </si>
  <si>
    <t xml:space="preserve">Remove 2" CHWS&amp;R piping back to 3" reducer, supports to remain, Unit G (Mech Note 3)</t>
  </si>
  <si>
    <t xml:space="preserve">Remove sprinkler branch piping and heads shown for demolition, +/-360 LF, after drain-down by the fire protection contractor (FPD111, FPD112)</t>
  </si>
  <si>
    <t xml:space="preserve">Remove existing light fixtures, 80 EA (ED111F/G, ED112F/G)</t>
  </si>
  <si>
    <t xml:space="preserve">Remove AHU and exhaust fan disconnect switches, devices, cabling and conduit back to the nearest junction box, after make-safe by electrician (Elec Notes 1, 2; ED113F/G Note 1)</t>
  </si>
  <si>
    <t xml:space="preserve">Remove existing fire alarm devices shown for demolition, 24 EA (FAD111F/G, FAD112F/G)</t>
  </si>
  <si>
    <t xml:space="preserve">Carry all debris down from Level 2 by stair (no elevator), haul out nightly; account for all tools and debris at end of each shift per Corrections requirements (RFI #40, #43; Spec 01 1100 1.9)</t>
  </si>
  <si>
    <t xml:space="preserve">Provide tacky mats, poly at openings and HEPA vacuums; leave work areas broom clean at the end of each shift (Spec 02 4113 1.4.G; Gen. Note W)</t>
  </si>
  <si>
    <t xml:space="preserve">Legally dispose of all demolition debris off-site; owner retains first right of refusal on salvage per joint damage survey (Gen. Notes D, L; Spec 02 4113 3.5)</t>
  </si>
  <si>
    <t xml:space="preserve">ALTERNATES</t>
  </si>
  <si>
    <t xml:space="preserve">1</t>
  </si>
  <si>
    <t xml:space="preserve">ALTERNATE #1: Remove 8" solid grouted CMU chase walls - Level 1 +/-166 LF (+/-1,770 SF) and Level 2 +/-62 LF (+/-560 SF); cut dowels flush where slab remains, following EOR field review (Struct Notes 1, 4; Plan Notes D01, D02)</t>
  </si>
  <si>
    <t xml:space="preserve">2</t>
  </si>
  <si>
    <t xml:space="preserve">ALTERNATE #2: Sawcut and remove 4" slab-on-grade, thickened slab, footings and continuous bars, Unit F +/-555 SF / Unit G +/-569 SF (Struct Note 3; Plan Notes D11, D13; SD501 A4, A6)</t>
  </si>
  <si>
    <t xml:space="preserve">3</t>
  </si>
  <si>
    <t xml:space="preserve">ALTERNATE #3: Wall / slab cuts for new plumbing 9 EA, partial wall demo for new door 1 EA, 12" openings in precast wall panels 4 EA, precast mezzanine slab openings 2 EA, roof panel / metal deck openings 3 EA, incl. GPR / X-ray scanning allowance (Plan Notes D03, D10; SD112F/G, SD121, SD501; RFI #32)</t>
  </si>
  <si>
    <t xml:space="preserve">4</t>
  </si>
  <si>
    <t xml:space="preserve">ALTERNATE #4: Grind dowels / wall base down 1/2" minimum below top of slab where slab remains (Struct Note 4)</t>
  </si>
  <si>
    <t xml:space="preserve">5</t>
  </si>
  <si>
    <t xml:space="preserve">ALTERNATE #5: Negative air machines and full-height poly dust containment, Units F &amp; G</t>
  </si>
  <si>
    <t xml:space="preserve">6</t>
  </si>
  <si>
    <t xml:space="preserve">ALTERNATE #6: Daytime work (Spec 01 2300 Alternate No. 1) - DDD price unchanged (flat labor rate)</t>
  </si>
  <si>
    <t xml:space="preserve">EXCLUSIONS</t>
  </si>
  <si>
    <t xml:space="preserve">- All patching, repair, slab repair per specs, roof patching, curbs and caps, fireproofing repair, and prep for new finishes (Spec 01 7329; Mech Note 2; RFI #21)</t>
  </si>
  <si>
    <t xml:space="preserve">- Excavation, trenching and backfill below slab; disconnecting / capping / grout-abandoning underslab and below-grade piping (Plumbing Notes 2, 4, 5)</t>
  </si>
  <si>
    <t xml:space="preserve">- Disconnect, cap and make-safe of all utilities - electrical, plumbing, chilled water, sprinkler drain-down and impairment, and fire alarm system programming / bypass by the respective trades</t>
  </si>
  <si>
    <t xml:space="preserve">- Removal of conduit and wiring beyond the nearest junction box or back to the panel / source (Elec Gen. Note 4)</t>
  </si>
  <si>
    <t xml:space="preserve">- Shoring: included is limited to non-load-bearing masonry; load-bearing wall shoring, shoring design, structural engineering, PE survey and stamped drawings excluded (RFI #46; Spec 02 4113 3.1.C; S001)</t>
  </si>
  <si>
    <t xml:space="preserve">- Furnishing / installing lintels, bearing plates, jamb reinforcement, security bars at penetrations, and grouting (RFI #76)</t>
  </si>
  <si>
    <t xml:space="preserve">- Plywood / steel security covers at openings left overnight, temporary partitions and guardrails by GC (01 1100 1.9)</t>
  </si>
  <si>
    <t xml:space="preserve">- Hazardous materials (asbestos, lead, PCB ballasts) identification, abatement or disposal - no survey provided</t>
  </si>
  <si>
    <t xml:space="preserve">- Crane or rooftop rigging for RTUs / fans; detention equipment and security systems (RFI #79, #82)</t>
  </si>
  <si>
    <t xml:space="preserve">- Domestic Water Piping Replacement project (FDC_DW drawings) and ACT grid / tile removal and replacement</t>
  </si>
  <si>
    <t xml:space="preserve">- Items to remain: existing fixtures to remain (Plumbing Note 6), existing lights in dayroom, equipment within NIC rooms, roof curbs and security bars</t>
  </si>
  <si>
    <t xml:space="preserve">TERMS</t>
  </si>
  <si>
    <t xml:space="preserve">- Bid based on plans and specifications only; quantities scaled and +/- (field verify).</t>
  </si>
  <si>
    <t xml:space="preserve">- Zero retainage; net 30; price valid 90 days.</t>
  </si>
  <si>
    <t xml:space="preserve">- Mobilization not included in unit pricing; each additional mobilization (e.g., Unit F and Unit G phased separately) $3,250.</t>
  </si>
  <si>
    <t xml:space="preserve">- Night work Mon-Fri included at no premium; weekend work only with Corrections' written approval.</t>
  </si>
  <si>
    <t xml:space="preserve">- Security time, escorts and FDLE background checks for DDD crew included as listed; delays from inmate movement, lockdowns or denied access are by change order.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</si>
</sst>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0"/>
    <numFmt numFmtId="167" formatCode="#,##0.0;\(#,##0.0\);\-"/>
    <numFmt numFmtId="168" formatCode="\$#,##0;&quot;($&quot;#,##0\);\-"/>
    <numFmt numFmtId="169" formatCode="\$#,##0.00"/>
    <numFmt numFmtId="170" formatCode="\$#,##0"/>
    <numFmt numFmtId="171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12121"/>
        <bgColor rgb="FF333300"/>
      </patternFill>
    </fill>
    <fill>
      <patternFill patternType="solid">
        <fgColor rgb="FFE0E0E0"/>
        <bgColor rgb="FFFFF3C4"/>
      </patternFill>
    </fill>
    <fill>
      <patternFill patternType="solid">
        <fgColor rgb="FFFFF3C4"/>
        <bgColor rgb="FFFFFF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customFormat="false" ht="15" hidden="false" customHeight="false" outlineLevel="0" collapsed="false">
      <c r="A6" s="5" t="s">
        <v>16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5" hidden="false" customHeight="false" outlineLevel="0" collapsed="false">
      <c r="A7" s="7" t="s">
        <v>17</v>
      </c>
      <c r="B7" s="7" t="s">
        <v>18</v>
      </c>
      <c r="C7" s="8" t="s">
        <v>19</v>
      </c>
      <c r="D7" s="9" t="n">
        <v>34</v>
      </c>
      <c r="E7" s="7" t="s">
        <v>20</v>
      </c>
      <c r="F7" s="10" t="n">
        <v>2.5</v>
      </c>
      <c r="G7" s="11" t="n">
        <f aca="false">D7*F7</f>
        <v>85</v>
      </c>
      <c r="H7" s="11" t="n">
        <f aca="false">G7*(1+Inputs!$B$8)</f>
        <v>106.25</v>
      </c>
      <c r="I7" s="12" t="n">
        <f aca="false">H7*Inputs!$B$5</f>
        <v>2656.25</v>
      </c>
      <c r="J7" s="13" t="n">
        <v>0</v>
      </c>
      <c r="K7" s="13" t="n">
        <v>0</v>
      </c>
      <c r="L7" s="13" t="n">
        <v>0</v>
      </c>
      <c r="M7" s="12" t="n">
        <f aca="false">SUM(I7:L7)</f>
        <v>2656.25</v>
      </c>
    </row>
    <row r="8" customFormat="false" ht="15" hidden="false" customHeight="false" outlineLevel="0" collapsed="false">
      <c r="A8" s="7" t="s">
        <v>21</v>
      </c>
      <c r="B8" s="7" t="s">
        <v>22</v>
      </c>
      <c r="C8" s="8" t="s">
        <v>23</v>
      </c>
      <c r="D8" s="9" t="n">
        <v>2</v>
      </c>
      <c r="E8" s="7" t="s">
        <v>24</v>
      </c>
      <c r="F8" s="10" t="n">
        <v>16</v>
      </c>
      <c r="G8" s="11" t="n">
        <f aca="false">D8*F8</f>
        <v>32</v>
      </c>
      <c r="H8" s="11" t="n">
        <f aca="false">G8*(1+Inputs!$B$8)</f>
        <v>40</v>
      </c>
      <c r="I8" s="12" t="n">
        <f aca="false">H8*Inputs!$B$5</f>
        <v>1000</v>
      </c>
      <c r="J8" s="13" t="n">
        <v>0</v>
      </c>
      <c r="K8" s="13" t="n">
        <v>0</v>
      </c>
      <c r="L8" s="13" t="n">
        <v>0</v>
      </c>
      <c r="M8" s="12" t="n">
        <f aca="false">SUM(I8:L8)</f>
        <v>1000</v>
      </c>
    </row>
    <row r="9" customFormat="false" ht="15" hidden="false" customHeight="false" outlineLevel="0" collapsed="false">
      <c r="A9" s="7" t="s">
        <v>25</v>
      </c>
      <c r="B9" s="7" t="s">
        <v>26</v>
      </c>
      <c r="C9" s="8" t="s">
        <v>27</v>
      </c>
      <c r="D9" s="9" t="n">
        <v>1065</v>
      </c>
      <c r="E9" s="7" t="s">
        <v>28</v>
      </c>
      <c r="F9" s="10" t="n">
        <v>0.04</v>
      </c>
      <c r="G9" s="11" t="n">
        <f aca="false">D9*F9</f>
        <v>42.6</v>
      </c>
      <c r="H9" s="11" t="n">
        <f aca="false">G9*(1+Inputs!$B$8)</f>
        <v>53.25</v>
      </c>
      <c r="I9" s="12" t="n">
        <f aca="false">H9*Inputs!$B$5</f>
        <v>1331.25</v>
      </c>
      <c r="J9" s="13" t="n">
        <v>0</v>
      </c>
      <c r="K9" s="13" t="n">
        <v>0</v>
      </c>
      <c r="L9" s="13" t="n">
        <v>0</v>
      </c>
      <c r="M9" s="12" t="n">
        <f aca="false">SUM(I9:L9)</f>
        <v>1331.25</v>
      </c>
    </row>
    <row r="10" customFormat="false" ht="15" hidden="false" customHeight="false" outlineLevel="0" collapsed="false">
      <c r="A10" s="7" t="s">
        <v>29</v>
      </c>
      <c r="B10" s="7" t="s">
        <v>30</v>
      </c>
      <c r="C10" s="8" t="s">
        <v>31</v>
      </c>
      <c r="D10" s="9" t="n">
        <v>1</v>
      </c>
      <c r="E10" s="7" t="s">
        <v>20</v>
      </c>
      <c r="F10" s="10" t="n">
        <v>4</v>
      </c>
      <c r="G10" s="11" t="n">
        <f aca="false">D10*F10</f>
        <v>4</v>
      </c>
      <c r="H10" s="11" t="n">
        <f aca="false">G10*(1+Inputs!$B$8)</f>
        <v>5</v>
      </c>
      <c r="I10" s="12" t="n">
        <f aca="false">H10*Inputs!$B$5</f>
        <v>125</v>
      </c>
      <c r="J10" s="13" t="n">
        <v>0</v>
      </c>
      <c r="K10" s="13" t="n">
        <v>0</v>
      </c>
      <c r="L10" s="13" t="n">
        <v>0</v>
      </c>
      <c r="M10" s="12" t="n">
        <f aca="false">SUM(I10:L10)</f>
        <v>125</v>
      </c>
    </row>
    <row r="11" customFormat="false" ht="15" hidden="false" customHeight="false" outlineLevel="0" collapsed="false">
      <c r="A11" s="7" t="s">
        <v>32</v>
      </c>
      <c r="B11" s="7" t="s">
        <v>33</v>
      </c>
      <c r="C11" s="8" t="s">
        <v>34</v>
      </c>
      <c r="D11" s="9" t="n">
        <v>450</v>
      </c>
      <c r="E11" s="7" t="s">
        <v>35</v>
      </c>
      <c r="F11" s="10" t="n">
        <v>0.12</v>
      </c>
      <c r="G11" s="11" t="n">
        <f aca="false">D11*F11</f>
        <v>54</v>
      </c>
      <c r="H11" s="11" t="n">
        <f aca="false">G11*(1+Inputs!$B$8)</f>
        <v>67.5</v>
      </c>
      <c r="I11" s="12" t="n">
        <f aca="false">H11*Inputs!$B$5</f>
        <v>1687.5</v>
      </c>
      <c r="J11" s="13" t="n">
        <v>0</v>
      </c>
      <c r="K11" s="13" t="n">
        <v>0</v>
      </c>
      <c r="L11" s="13" t="n">
        <v>0</v>
      </c>
      <c r="M11" s="12" t="n">
        <f aca="false">SUM(I11:L11)</f>
        <v>1687.5</v>
      </c>
    </row>
    <row r="12" customFormat="false" ht="15" hidden="false" customHeight="false" outlineLevel="0" collapsed="false">
      <c r="A12" s="7" t="s">
        <v>36</v>
      </c>
      <c r="B12" s="7" t="s">
        <v>37</v>
      </c>
      <c r="C12" s="8" t="s">
        <v>38</v>
      </c>
      <c r="D12" s="9" t="n">
        <v>500</v>
      </c>
      <c r="E12" s="7" t="s">
        <v>35</v>
      </c>
      <c r="F12" s="10" t="n">
        <v>0.12</v>
      </c>
      <c r="G12" s="11" t="n">
        <f aca="false">D12*F12</f>
        <v>60</v>
      </c>
      <c r="H12" s="11" t="n">
        <f aca="false">G12*(1+Inputs!$B$8)</f>
        <v>75</v>
      </c>
      <c r="I12" s="12" t="n">
        <f aca="false">H12*Inputs!$B$5</f>
        <v>1875</v>
      </c>
      <c r="J12" s="13" t="n">
        <v>0</v>
      </c>
      <c r="K12" s="13" t="n">
        <v>0</v>
      </c>
      <c r="L12" s="13" t="n">
        <v>0</v>
      </c>
      <c r="M12" s="12" t="n">
        <f aca="false">SUM(I12:L12)</f>
        <v>1875</v>
      </c>
    </row>
    <row r="13" customFormat="false" ht="15" hidden="false" customHeight="false" outlineLevel="0" collapsed="false">
      <c r="A13" s="7" t="s">
        <v>39</v>
      </c>
      <c r="B13" s="7" t="s">
        <v>40</v>
      </c>
      <c r="C13" s="8" t="s">
        <v>41</v>
      </c>
      <c r="D13" s="9" t="n">
        <v>3</v>
      </c>
      <c r="E13" s="7" t="s">
        <v>20</v>
      </c>
      <c r="F13" s="10" t="n">
        <v>8</v>
      </c>
      <c r="G13" s="11" t="n">
        <f aca="false">D13*F13</f>
        <v>24</v>
      </c>
      <c r="H13" s="11" t="n">
        <f aca="false">G13*(1+Inputs!$B$8)</f>
        <v>30</v>
      </c>
      <c r="I13" s="12" t="n">
        <f aca="false">H13*Inputs!$B$5</f>
        <v>750</v>
      </c>
      <c r="J13" s="13" t="n">
        <v>0</v>
      </c>
      <c r="K13" s="13" t="n">
        <v>0</v>
      </c>
      <c r="L13" s="13" t="n">
        <v>0</v>
      </c>
      <c r="M13" s="12" t="n">
        <f aca="false">SUM(I13:L13)</f>
        <v>750</v>
      </c>
    </row>
    <row r="14" customFormat="false" ht="15" hidden="false" customHeight="false" outlineLevel="0" collapsed="false">
      <c r="A14" s="7" t="s">
        <v>42</v>
      </c>
      <c r="B14" s="7" t="s">
        <v>43</v>
      </c>
      <c r="C14" s="8" t="s">
        <v>44</v>
      </c>
      <c r="D14" s="9" t="n">
        <v>2</v>
      </c>
      <c r="E14" s="7" t="s">
        <v>20</v>
      </c>
      <c r="F14" s="10" t="n">
        <v>16</v>
      </c>
      <c r="G14" s="11" t="n">
        <f aca="false">D14*F14</f>
        <v>32</v>
      </c>
      <c r="H14" s="11" t="n">
        <f aca="false">G14*(1+Inputs!$B$8)</f>
        <v>40</v>
      </c>
      <c r="I14" s="12" t="n">
        <f aca="false">H14*Inputs!$B$5</f>
        <v>1000</v>
      </c>
      <c r="J14" s="13" t="n">
        <v>0</v>
      </c>
      <c r="K14" s="13" t="n">
        <v>0</v>
      </c>
      <c r="L14" s="13" t="n">
        <v>0</v>
      </c>
      <c r="M14" s="12" t="n">
        <f aca="false">SUM(I14:L14)</f>
        <v>1000</v>
      </c>
    </row>
    <row r="15" customFormat="false" ht="15" hidden="false" customHeight="false" outlineLevel="0" collapsed="false">
      <c r="A15" s="7" t="s">
        <v>45</v>
      </c>
      <c r="B15" s="7" t="s">
        <v>46</v>
      </c>
      <c r="C15" s="8" t="s">
        <v>47</v>
      </c>
      <c r="D15" s="9" t="n">
        <v>2</v>
      </c>
      <c r="E15" s="7" t="s">
        <v>20</v>
      </c>
      <c r="F15" s="10" t="n">
        <v>20</v>
      </c>
      <c r="G15" s="11" t="n">
        <f aca="false">D15*F15</f>
        <v>40</v>
      </c>
      <c r="H15" s="11" t="n">
        <f aca="false">G15*(1+Inputs!$B$8)</f>
        <v>50</v>
      </c>
      <c r="I15" s="12" t="n">
        <f aca="false">H15*Inputs!$B$5</f>
        <v>1250</v>
      </c>
      <c r="J15" s="13" t="n">
        <v>0</v>
      </c>
      <c r="K15" s="13" t="n">
        <v>0</v>
      </c>
      <c r="L15" s="13" t="n">
        <v>0</v>
      </c>
      <c r="M15" s="12" t="n">
        <f aca="false">SUM(I15:L15)</f>
        <v>1250</v>
      </c>
    </row>
    <row r="16" customFormat="false" ht="15" hidden="false" customHeight="false" outlineLevel="0" collapsed="false">
      <c r="A16" s="7" t="s">
        <v>48</v>
      </c>
      <c r="B16" s="7" t="s">
        <v>49</v>
      </c>
      <c r="C16" s="8" t="s">
        <v>50</v>
      </c>
      <c r="D16" s="9" t="n">
        <v>4</v>
      </c>
      <c r="E16" s="7" t="s">
        <v>20</v>
      </c>
      <c r="F16" s="10" t="n">
        <v>5</v>
      </c>
      <c r="G16" s="11" t="n">
        <f aca="false">D16*F16</f>
        <v>20</v>
      </c>
      <c r="H16" s="11" t="n">
        <f aca="false">G16*(1+Inputs!$B$8)</f>
        <v>25</v>
      </c>
      <c r="I16" s="12" t="n">
        <f aca="false">H16*Inputs!$B$5</f>
        <v>625</v>
      </c>
      <c r="J16" s="13" t="n">
        <v>0</v>
      </c>
      <c r="K16" s="13" t="n">
        <v>0</v>
      </c>
      <c r="L16" s="13" t="n">
        <v>0</v>
      </c>
      <c r="M16" s="12" t="n">
        <f aca="false">SUM(I16:L16)</f>
        <v>625</v>
      </c>
    </row>
    <row r="17" customFormat="false" ht="15" hidden="false" customHeight="false" outlineLevel="0" collapsed="false">
      <c r="A17" s="7" t="s">
        <v>51</v>
      </c>
      <c r="B17" s="7" t="s">
        <v>52</v>
      </c>
      <c r="C17" s="8" t="s">
        <v>53</v>
      </c>
      <c r="D17" s="9" t="n">
        <v>300</v>
      </c>
      <c r="E17" s="7" t="s">
        <v>35</v>
      </c>
      <c r="F17" s="10" t="n">
        <v>0.15</v>
      </c>
      <c r="G17" s="11" t="n">
        <f aca="false">D17*F17</f>
        <v>45</v>
      </c>
      <c r="H17" s="11" t="n">
        <f aca="false">G17*(1+Inputs!$B$8)</f>
        <v>56.25</v>
      </c>
      <c r="I17" s="12" t="n">
        <f aca="false">H17*Inputs!$B$5</f>
        <v>1406.25</v>
      </c>
      <c r="J17" s="13" t="n">
        <v>0</v>
      </c>
      <c r="K17" s="13" t="n">
        <v>0</v>
      </c>
      <c r="L17" s="13" t="n">
        <v>0</v>
      </c>
      <c r="M17" s="12" t="n">
        <f aca="false">SUM(I17:L17)</f>
        <v>1406.25</v>
      </c>
    </row>
    <row r="18" customFormat="false" ht="15" hidden="false" customHeight="false" outlineLevel="0" collapsed="false">
      <c r="A18" s="7" t="s">
        <v>54</v>
      </c>
      <c r="B18" s="7" t="s">
        <v>55</v>
      </c>
      <c r="C18" s="8" t="s">
        <v>56</v>
      </c>
      <c r="D18" s="9" t="n">
        <v>40</v>
      </c>
      <c r="E18" s="7" t="s">
        <v>35</v>
      </c>
      <c r="F18" s="10" t="n">
        <v>0.15</v>
      </c>
      <c r="G18" s="11" t="n">
        <f aca="false">D18*F18</f>
        <v>6</v>
      </c>
      <c r="H18" s="11" t="n">
        <f aca="false">G18*(1+Inputs!$B$8)</f>
        <v>7.5</v>
      </c>
      <c r="I18" s="12" t="n">
        <f aca="false">H18*Inputs!$B$5</f>
        <v>187.5</v>
      </c>
      <c r="J18" s="13" t="n">
        <v>0</v>
      </c>
      <c r="K18" s="13" t="n">
        <v>0</v>
      </c>
      <c r="L18" s="13" t="n">
        <v>0</v>
      </c>
      <c r="M18" s="12" t="n">
        <f aca="false">SUM(I18:L18)</f>
        <v>187.5</v>
      </c>
    </row>
    <row r="19" customFormat="false" ht="15" hidden="false" customHeight="false" outlineLevel="0" collapsed="false">
      <c r="A19" s="7" t="s">
        <v>57</v>
      </c>
      <c r="B19" s="7" t="s">
        <v>58</v>
      </c>
      <c r="C19" s="8" t="s">
        <v>59</v>
      </c>
      <c r="D19" s="9" t="n">
        <v>360</v>
      </c>
      <c r="E19" s="7" t="s">
        <v>35</v>
      </c>
      <c r="F19" s="10" t="n">
        <v>0.1</v>
      </c>
      <c r="G19" s="11" t="n">
        <f aca="false">D19*F19</f>
        <v>36</v>
      </c>
      <c r="H19" s="11" t="n">
        <f aca="false">G19*(1+Inputs!$B$8)</f>
        <v>45</v>
      </c>
      <c r="I19" s="12" t="n">
        <f aca="false">H19*Inputs!$B$5</f>
        <v>1125</v>
      </c>
      <c r="J19" s="13" t="n">
        <v>0</v>
      </c>
      <c r="K19" s="13" t="n">
        <v>0</v>
      </c>
      <c r="L19" s="13" t="n">
        <v>0</v>
      </c>
      <c r="M19" s="12" t="n">
        <f aca="false">SUM(I19:L19)</f>
        <v>1125</v>
      </c>
    </row>
    <row r="20" customFormat="false" ht="15" hidden="false" customHeight="false" outlineLevel="0" collapsed="false">
      <c r="A20" s="7" t="s">
        <v>60</v>
      </c>
      <c r="B20" s="7" t="s">
        <v>61</v>
      </c>
      <c r="C20" s="8" t="s">
        <v>62</v>
      </c>
      <c r="D20" s="9" t="n">
        <v>80</v>
      </c>
      <c r="E20" s="7" t="s">
        <v>20</v>
      </c>
      <c r="F20" s="10" t="n">
        <v>0.75</v>
      </c>
      <c r="G20" s="11" t="n">
        <f aca="false">D20*F20</f>
        <v>60</v>
      </c>
      <c r="H20" s="11" t="n">
        <f aca="false">G20*(1+Inputs!$B$8)</f>
        <v>75</v>
      </c>
      <c r="I20" s="12" t="n">
        <f aca="false">H20*Inputs!$B$5</f>
        <v>1875</v>
      </c>
      <c r="J20" s="13" t="n">
        <v>0</v>
      </c>
      <c r="K20" s="13" t="n">
        <v>0</v>
      </c>
      <c r="L20" s="13" t="n">
        <v>0</v>
      </c>
      <c r="M20" s="12" t="n">
        <f aca="false">SUM(I20:L20)</f>
        <v>1875</v>
      </c>
    </row>
    <row r="21" customFormat="false" ht="15" hidden="false" customHeight="false" outlineLevel="0" collapsed="false">
      <c r="A21" s="7" t="s">
        <v>63</v>
      </c>
      <c r="B21" s="7" t="s">
        <v>64</v>
      </c>
      <c r="C21" s="8" t="s">
        <v>65</v>
      </c>
      <c r="D21" s="9" t="n">
        <v>1</v>
      </c>
      <c r="E21" s="7" t="s">
        <v>24</v>
      </c>
      <c r="F21" s="10" t="n">
        <v>32</v>
      </c>
      <c r="G21" s="11" t="n">
        <f aca="false">D21*F21</f>
        <v>32</v>
      </c>
      <c r="H21" s="11" t="n">
        <f aca="false">G21*(1+Inputs!$B$8)</f>
        <v>40</v>
      </c>
      <c r="I21" s="12" t="n">
        <f aca="false">H21*Inputs!$B$5</f>
        <v>1000</v>
      </c>
      <c r="J21" s="13" t="n">
        <v>0</v>
      </c>
      <c r="K21" s="13" t="n">
        <v>0</v>
      </c>
      <c r="L21" s="13" t="n">
        <v>0</v>
      </c>
      <c r="M21" s="12" t="n">
        <f aca="false">SUM(I21:L21)</f>
        <v>1000</v>
      </c>
    </row>
    <row r="22" customFormat="false" ht="15" hidden="false" customHeight="false" outlineLevel="0" collapsed="false">
      <c r="A22" s="7" t="s">
        <v>66</v>
      </c>
      <c r="B22" s="7" t="s">
        <v>67</v>
      </c>
      <c r="C22" s="8" t="s">
        <v>68</v>
      </c>
      <c r="D22" s="9" t="n">
        <v>24</v>
      </c>
      <c r="E22" s="7" t="s">
        <v>20</v>
      </c>
      <c r="F22" s="10" t="n">
        <v>0.5</v>
      </c>
      <c r="G22" s="11" t="n">
        <f aca="false">D22*F22</f>
        <v>12</v>
      </c>
      <c r="H22" s="11" t="n">
        <f aca="false">G22*(1+Inputs!$B$8)</f>
        <v>15</v>
      </c>
      <c r="I22" s="12" t="n">
        <f aca="false">H22*Inputs!$B$5</f>
        <v>375</v>
      </c>
      <c r="J22" s="13" t="n">
        <v>0</v>
      </c>
      <c r="K22" s="13" t="n">
        <v>0</v>
      </c>
      <c r="L22" s="13" t="n">
        <v>0</v>
      </c>
      <c r="M22" s="12" t="n">
        <f aca="false">SUM(I22:L22)</f>
        <v>375</v>
      </c>
    </row>
    <row r="23" customFormat="false" ht="15" hidden="false" customHeight="false" outlineLevel="0" collapsed="false">
      <c r="A23" s="7" t="s">
        <v>69</v>
      </c>
      <c r="B23" s="7" t="s">
        <v>70</v>
      </c>
      <c r="C23" s="8" t="s">
        <v>71</v>
      </c>
      <c r="D23" s="9" t="n">
        <v>1</v>
      </c>
      <c r="E23" s="7" t="s">
        <v>24</v>
      </c>
      <c r="F23" s="10" t="n">
        <v>48</v>
      </c>
      <c r="G23" s="11" t="n">
        <f aca="false">D23*F23</f>
        <v>48</v>
      </c>
      <c r="H23" s="11" t="n">
        <f aca="false">G23*(1+Inputs!$B$8)</f>
        <v>60</v>
      </c>
      <c r="I23" s="12" t="n">
        <f aca="false">H23*Inputs!$B$5</f>
        <v>1500</v>
      </c>
      <c r="J23" s="13" t="n">
        <v>300</v>
      </c>
      <c r="K23" s="13" t="n">
        <v>0</v>
      </c>
      <c r="L23" s="13" t="n">
        <v>0</v>
      </c>
      <c r="M23" s="12" t="n">
        <f aca="false">SUM(I23:L23)</f>
        <v>1800</v>
      </c>
    </row>
    <row r="24" customFormat="false" ht="15" hidden="false" customHeight="false" outlineLevel="0" collapsed="false">
      <c r="A24" s="7" t="s">
        <v>72</v>
      </c>
      <c r="B24" s="7" t="s">
        <v>73</v>
      </c>
      <c r="C24" s="8" t="s">
        <v>74</v>
      </c>
      <c r="D24" s="9" t="n">
        <v>1</v>
      </c>
      <c r="E24" s="7" t="s">
        <v>24</v>
      </c>
      <c r="F24" s="10" t="n">
        <v>40</v>
      </c>
      <c r="G24" s="11" t="n">
        <f aca="false">D24*F24</f>
        <v>40</v>
      </c>
      <c r="H24" s="11" t="n">
        <f aca="false">G24*(1+Inputs!$B$8)</f>
        <v>50</v>
      </c>
      <c r="I24" s="12" t="n">
        <f aca="false">H24*Inputs!$B$5</f>
        <v>1250</v>
      </c>
      <c r="J24" s="13" t="n">
        <v>400</v>
      </c>
      <c r="K24" s="13" t="n">
        <v>0</v>
      </c>
      <c r="L24" s="13" t="n">
        <v>1200</v>
      </c>
      <c r="M24" s="12" t="n">
        <f aca="false">SUM(I24:L24)</f>
        <v>2850</v>
      </c>
    </row>
    <row r="25" customFormat="false" ht="15" hidden="false" customHeight="false" outlineLevel="0" collapsed="false">
      <c r="A25" s="7" t="s">
        <v>75</v>
      </c>
      <c r="B25" s="7" t="s">
        <v>76</v>
      </c>
      <c r="C25" s="8" t="s">
        <v>77</v>
      </c>
      <c r="D25" s="9" t="n">
        <v>1</v>
      </c>
      <c r="E25" s="7" t="s">
        <v>24</v>
      </c>
      <c r="F25" s="10" t="n">
        <v>24</v>
      </c>
      <c r="G25" s="11" t="n">
        <f aca="false">D25*F25</f>
        <v>24</v>
      </c>
      <c r="H25" s="11" t="n">
        <f aca="false">G25*(1+Inputs!$B$8)</f>
        <v>30</v>
      </c>
      <c r="I25" s="12" t="n">
        <f aca="false">H25*Inputs!$B$5</f>
        <v>750</v>
      </c>
      <c r="J25" s="13" t="n">
        <v>0</v>
      </c>
      <c r="K25" s="13" t="n">
        <v>0</v>
      </c>
      <c r="L25" s="12" t="n">
        <f aca="false">Inputs!$B$6*Inputs!$B$16</f>
        <v>450</v>
      </c>
      <c r="M25" s="12" t="n">
        <f aca="false">SUM(I25:L25)</f>
        <v>1200</v>
      </c>
    </row>
    <row r="26" customFormat="false" ht="15" hidden="false" customHeight="false" outlineLevel="0" collapsed="false">
      <c r="A26" s="7" t="s">
        <v>78</v>
      </c>
      <c r="B26" s="7" t="s">
        <v>79</v>
      </c>
      <c r="C26" s="8" t="s">
        <v>80</v>
      </c>
      <c r="D26" s="9" t="n">
        <v>4</v>
      </c>
      <c r="E26" s="7" t="s">
        <v>81</v>
      </c>
      <c r="F26" s="10" t="n">
        <v>0</v>
      </c>
      <c r="G26" s="11" t="n">
        <f aca="false">D26*F26</f>
        <v>0</v>
      </c>
      <c r="H26" s="11" t="n">
        <f aca="false">G26*(1+Inputs!$B$8)</f>
        <v>0</v>
      </c>
      <c r="I26" s="12" t="n">
        <f aca="false">H26*Inputs!$B$5</f>
        <v>0</v>
      </c>
      <c r="J26" s="13" t="n">
        <v>0</v>
      </c>
      <c r="K26" s="12" t="n">
        <f aca="false">D26*Inputs!$B$11</f>
        <v>1400</v>
      </c>
      <c r="L26" s="13" t="n">
        <v>0</v>
      </c>
      <c r="M26" s="12" t="n">
        <f aca="false">SUM(I26:L26)</f>
        <v>1400</v>
      </c>
    </row>
    <row r="27" customFormat="false" ht="15" hidden="false" customHeight="false" outlineLevel="0" collapsed="false">
      <c r="B27" s="14" t="s">
        <v>82</v>
      </c>
      <c r="H27" s="15" t="n">
        <f aca="false">SUM(H7:H26)</f>
        <v>870.75</v>
      </c>
    </row>
    <row r="28" customFormat="false" ht="15" hidden="false" customHeight="false" outlineLevel="0" collapsed="false">
      <c r="B28" s="14" t="s">
        <v>83</v>
      </c>
      <c r="H28" s="16" t="n">
        <f aca="false">ROUNDUP(H27/(Inputs!$B$6*Inputs!$B$7),0)</f>
        <v>19</v>
      </c>
    </row>
    <row r="29" customFormat="false" ht="15" hidden="false" customHeight="false" outlineLevel="0" collapsed="false">
      <c r="B29" s="14" t="s">
        <v>84</v>
      </c>
      <c r="M29" s="17" t="n">
        <f aca="false">SUM(M7:M26)</f>
        <v>25518.75</v>
      </c>
    </row>
    <row r="30" customFormat="false" ht="15" hidden="false" customHeight="false" outlineLevel="0" collapsed="false">
      <c r="B30" s="14" t="s">
        <v>85</v>
      </c>
      <c r="M30" s="17" t="n">
        <f aca="false">Inputs!$B$15*H28*(Inputs!$B$13+Inputs!$B$6*Inputs!$B$14)</f>
        <v>9595</v>
      </c>
    </row>
    <row r="31" customFormat="false" ht="15" hidden="false" customHeight="false" outlineLevel="0" collapsed="false">
      <c r="B31" s="14" t="s">
        <v>86</v>
      </c>
      <c r="M31" s="17" t="n">
        <f aca="false">M29*Inputs!$B$10</f>
        <v>1275.9375</v>
      </c>
    </row>
    <row r="32" customFormat="false" ht="15" hidden="false" customHeight="false" outlineLevel="0" collapsed="false">
      <c r="B32" s="14" t="s">
        <v>87</v>
      </c>
      <c r="M32" s="17" t="n">
        <f aca="false">Inputs!$B$9*H28</f>
        <v>19000</v>
      </c>
    </row>
    <row r="33" customFormat="false" ht="15" hidden="false" customHeight="false" outlineLevel="0" collapsed="false">
      <c r="B33" s="18" t="s">
        <v>88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20" t="n">
        <f aca="false">SUM(M29:M32)</f>
        <v>55389.6875</v>
      </c>
    </row>
    <row r="35" customFormat="false" ht="15" hidden="false" customHeight="false" outlineLevel="0" collapsed="false">
      <c r="A35" s="5" t="s">
        <v>89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customFormat="false" ht="15" hidden="false" customHeight="false" outlineLevel="0" collapsed="false">
      <c r="A36" s="7" t="s">
        <v>90</v>
      </c>
      <c r="B36" s="7" t="s">
        <v>91</v>
      </c>
      <c r="C36" s="8" t="s">
        <v>92</v>
      </c>
      <c r="D36" s="9" t="n">
        <v>1770</v>
      </c>
      <c r="E36" s="7" t="s">
        <v>28</v>
      </c>
      <c r="F36" s="10" t="n">
        <v>0.2</v>
      </c>
      <c r="G36" s="11" t="n">
        <f aca="false">D36*F36</f>
        <v>354</v>
      </c>
      <c r="H36" s="11" t="n">
        <f aca="false">G36*(1+Inputs!$B$8)</f>
        <v>442.5</v>
      </c>
      <c r="I36" s="12" t="n">
        <f aca="false">H36*Inputs!$B$5</f>
        <v>11062.5</v>
      </c>
      <c r="J36" s="13" t="n">
        <v>0</v>
      </c>
      <c r="K36" s="13" t="n">
        <v>0</v>
      </c>
      <c r="L36" s="13" t="n">
        <v>0</v>
      </c>
      <c r="M36" s="12" t="n">
        <f aca="false">SUM(I36:L36)</f>
        <v>11062.5</v>
      </c>
    </row>
    <row r="37" customFormat="false" ht="15" hidden="false" customHeight="false" outlineLevel="0" collapsed="false">
      <c r="A37" s="7" t="s">
        <v>93</v>
      </c>
      <c r="B37" s="7" t="s">
        <v>94</v>
      </c>
      <c r="C37" s="8" t="s">
        <v>95</v>
      </c>
      <c r="D37" s="9" t="n">
        <v>560</v>
      </c>
      <c r="E37" s="7" t="s">
        <v>28</v>
      </c>
      <c r="F37" s="10" t="n">
        <v>0.28</v>
      </c>
      <c r="G37" s="11" t="n">
        <f aca="false">D37*F37</f>
        <v>156.8</v>
      </c>
      <c r="H37" s="11" t="n">
        <f aca="false">G37*(1+Inputs!$B$8)</f>
        <v>196</v>
      </c>
      <c r="I37" s="12" t="n">
        <f aca="false">H37*Inputs!$B$5</f>
        <v>4900</v>
      </c>
      <c r="J37" s="13" t="n">
        <v>0</v>
      </c>
      <c r="K37" s="13" t="n">
        <v>0</v>
      </c>
      <c r="L37" s="13" t="n">
        <v>0</v>
      </c>
      <c r="M37" s="12" t="n">
        <f aca="false">SUM(I37:L37)</f>
        <v>4900</v>
      </c>
    </row>
    <row r="38" customFormat="false" ht="15" hidden="false" customHeight="false" outlineLevel="0" collapsed="false">
      <c r="A38" s="7" t="s">
        <v>96</v>
      </c>
      <c r="B38" s="7" t="s">
        <v>97</v>
      </c>
      <c r="C38" s="8" t="s">
        <v>98</v>
      </c>
      <c r="D38" s="9" t="n">
        <v>60</v>
      </c>
      <c r="E38" s="7" t="s">
        <v>35</v>
      </c>
      <c r="F38" s="10" t="n">
        <v>0.15</v>
      </c>
      <c r="G38" s="11" t="n">
        <f aca="false">D38*F38</f>
        <v>9</v>
      </c>
      <c r="H38" s="11" t="n">
        <f aca="false">G38*(1+Inputs!$B$8)</f>
        <v>11.25</v>
      </c>
      <c r="I38" s="12" t="n">
        <f aca="false">H38*Inputs!$B$5</f>
        <v>281.25</v>
      </c>
      <c r="J38" s="13" t="n">
        <v>0</v>
      </c>
      <c r="K38" s="13" t="n">
        <v>0</v>
      </c>
      <c r="L38" s="13" t="n">
        <v>0</v>
      </c>
      <c r="M38" s="12" t="n">
        <f aca="false">SUM(I38:L38)</f>
        <v>281.25</v>
      </c>
    </row>
    <row r="39" customFormat="false" ht="15" hidden="false" customHeight="false" outlineLevel="0" collapsed="false">
      <c r="A39" s="7" t="s">
        <v>99</v>
      </c>
      <c r="B39" s="7" t="s">
        <v>100</v>
      </c>
      <c r="C39" s="8" t="s">
        <v>101</v>
      </c>
      <c r="D39" s="9" t="n">
        <v>12</v>
      </c>
      <c r="E39" s="7" t="s">
        <v>102</v>
      </c>
      <c r="F39" s="10" t="n">
        <v>0</v>
      </c>
      <c r="G39" s="11" t="n">
        <f aca="false">D39*F39</f>
        <v>0</v>
      </c>
      <c r="H39" s="11" t="n">
        <f aca="false">G39*(1+Inputs!$B$8)</f>
        <v>0</v>
      </c>
      <c r="I39" s="12" t="n">
        <f aca="false">H39*Inputs!$B$5</f>
        <v>0</v>
      </c>
      <c r="J39" s="12" t="n">
        <f aca="false">D39*450</f>
        <v>5400</v>
      </c>
      <c r="K39" s="13" t="n">
        <v>0</v>
      </c>
      <c r="L39" s="13" t="n">
        <v>0</v>
      </c>
      <c r="M39" s="12" t="n">
        <f aca="false">SUM(I39:L39)</f>
        <v>5400</v>
      </c>
    </row>
    <row r="40" customFormat="false" ht="15" hidden="false" customHeight="false" outlineLevel="0" collapsed="false">
      <c r="A40" s="7" t="s">
        <v>103</v>
      </c>
      <c r="B40" s="7" t="s">
        <v>104</v>
      </c>
      <c r="C40" s="8" t="s">
        <v>101</v>
      </c>
      <c r="D40" s="9" t="n">
        <v>4</v>
      </c>
      <c r="E40" s="7" t="s">
        <v>81</v>
      </c>
      <c r="F40" s="10" t="n">
        <v>0</v>
      </c>
      <c r="G40" s="11" t="n">
        <f aca="false">D40*F40</f>
        <v>0</v>
      </c>
      <c r="H40" s="11" t="n">
        <f aca="false">G40*(1+Inputs!$B$8)</f>
        <v>0</v>
      </c>
      <c r="I40" s="12" t="n">
        <f aca="false">H40*Inputs!$B$5</f>
        <v>0</v>
      </c>
      <c r="J40" s="13" t="n">
        <v>0</v>
      </c>
      <c r="K40" s="12" t="n">
        <f aca="false">D40*Inputs!$B$12</f>
        <v>1400</v>
      </c>
      <c r="L40" s="13" t="n">
        <v>0</v>
      </c>
      <c r="M40" s="12" t="n">
        <f aca="false">SUM(I40:L40)</f>
        <v>1400</v>
      </c>
    </row>
    <row r="41" customFormat="false" ht="15" hidden="false" customHeight="false" outlineLevel="0" collapsed="false">
      <c r="B41" s="14" t="s">
        <v>105</v>
      </c>
      <c r="H41" s="15" t="n">
        <f aca="false">SUM(H36:H40)</f>
        <v>649.75</v>
      </c>
    </row>
    <row r="42" customFormat="false" ht="15" hidden="false" customHeight="false" outlineLevel="0" collapsed="false">
      <c r="B42" s="14" t="s">
        <v>106</v>
      </c>
      <c r="H42" s="16" t="n">
        <f aca="false">ROUNDUP(H41/(Inputs!$B$6*Inputs!$B$7),0)</f>
        <v>14</v>
      </c>
    </row>
    <row r="43" customFormat="false" ht="15" hidden="false" customHeight="false" outlineLevel="0" collapsed="false">
      <c r="B43" s="14" t="s">
        <v>84</v>
      </c>
      <c r="M43" s="17" t="n">
        <f aca="false">SUM(M36:M40)</f>
        <v>23043.75</v>
      </c>
    </row>
    <row r="44" customFormat="false" ht="15" hidden="false" customHeight="false" outlineLevel="0" collapsed="false">
      <c r="B44" s="14" t="s">
        <v>85</v>
      </c>
      <c r="M44" s="17" t="n">
        <f aca="false">Inputs!$B$15*H42*(Inputs!$B$13+Inputs!$B$6*Inputs!$B$14)</f>
        <v>7070</v>
      </c>
    </row>
    <row r="45" customFormat="false" ht="15" hidden="false" customHeight="false" outlineLevel="0" collapsed="false">
      <c r="B45" s="14" t="s">
        <v>86</v>
      </c>
      <c r="M45" s="17" t="n">
        <f aca="false">M43*Inputs!$B$10</f>
        <v>1152.1875</v>
      </c>
    </row>
    <row r="46" customFormat="false" ht="15" hidden="false" customHeight="false" outlineLevel="0" collapsed="false">
      <c r="B46" s="14" t="s">
        <v>87</v>
      </c>
      <c r="M46" s="17" t="n">
        <f aca="false">Inputs!$B$9*H42</f>
        <v>14000</v>
      </c>
    </row>
    <row r="47" customFormat="false" ht="15" hidden="false" customHeight="false" outlineLevel="0" collapsed="false">
      <c r="B47" s="18" t="s">
        <v>107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 t="n">
        <f aca="false">SUM(M43:M46)</f>
        <v>45265.9375</v>
      </c>
    </row>
    <row r="49" customFormat="false" ht="15" hidden="false" customHeight="false" outlineLevel="0" collapsed="false">
      <c r="A49" s="5" t="s">
        <v>108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customFormat="false" ht="15" hidden="false" customHeight="false" outlineLevel="0" collapsed="false">
      <c r="A50" s="7" t="s">
        <v>109</v>
      </c>
      <c r="B50" s="7" t="s">
        <v>110</v>
      </c>
      <c r="C50" s="8" t="s">
        <v>111</v>
      </c>
      <c r="D50" s="9" t="n">
        <v>420</v>
      </c>
      <c r="E50" s="7" t="s">
        <v>35</v>
      </c>
      <c r="F50" s="10" t="n">
        <v>0.04</v>
      </c>
      <c r="G50" s="11" t="n">
        <f aca="false">D50*F50</f>
        <v>16.8</v>
      </c>
      <c r="H50" s="11" t="n">
        <f aca="false">G50*(1+Inputs!$B$8)</f>
        <v>21</v>
      </c>
      <c r="I50" s="12" t="n">
        <f aca="false">H50*Inputs!$B$5</f>
        <v>525</v>
      </c>
      <c r="J50" s="13" t="n">
        <v>0</v>
      </c>
      <c r="K50" s="13" t="n">
        <v>0</v>
      </c>
      <c r="L50" s="13" t="n">
        <v>0</v>
      </c>
      <c r="M50" s="12" t="n">
        <f aca="false">SUM(I50:L50)</f>
        <v>525</v>
      </c>
    </row>
    <row r="51" customFormat="false" ht="15" hidden="false" customHeight="false" outlineLevel="0" collapsed="false">
      <c r="A51" s="7" t="s">
        <v>112</v>
      </c>
      <c r="B51" s="7" t="s">
        <v>113</v>
      </c>
      <c r="C51" s="8" t="s">
        <v>114</v>
      </c>
      <c r="D51" s="9" t="n">
        <v>1124</v>
      </c>
      <c r="E51" s="7" t="s">
        <v>28</v>
      </c>
      <c r="F51" s="10" t="n">
        <v>0.067</v>
      </c>
      <c r="G51" s="11" t="n">
        <f aca="false">D51*F51</f>
        <v>75.308</v>
      </c>
      <c r="H51" s="11" t="n">
        <f aca="false">G51*(1+Inputs!$B$8)</f>
        <v>94.135</v>
      </c>
      <c r="I51" s="12" t="n">
        <f aca="false">H51*Inputs!$B$5</f>
        <v>2353.375</v>
      </c>
      <c r="J51" s="13" t="n">
        <v>0</v>
      </c>
      <c r="K51" s="13" t="n">
        <v>0</v>
      </c>
      <c r="L51" s="13" t="n">
        <v>0</v>
      </c>
      <c r="M51" s="12" t="n">
        <f aca="false">SUM(I51:L51)</f>
        <v>2353.375</v>
      </c>
    </row>
    <row r="52" customFormat="false" ht="15" hidden="false" customHeight="false" outlineLevel="0" collapsed="false">
      <c r="A52" s="7" t="s">
        <v>115</v>
      </c>
      <c r="B52" s="7" t="s">
        <v>116</v>
      </c>
      <c r="C52" s="8" t="s">
        <v>117</v>
      </c>
      <c r="D52" s="9" t="n">
        <v>8</v>
      </c>
      <c r="E52" s="7" t="s">
        <v>118</v>
      </c>
      <c r="F52" s="10" t="n">
        <v>4</v>
      </c>
      <c r="G52" s="11" t="n">
        <f aca="false">D52*F52</f>
        <v>32</v>
      </c>
      <c r="H52" s="11" t="n">
        <f aca="false">G52*(1+Inputs!$B$8)</f>
        <v>40</v>
      </c>
      <c r="I52" s="12" t="n">
        <f aca="false">H52*Inputs!$B$5</f>
        <v>1000</v>
      </c>
      <c r="J52" s="13" t="n">
        <v>0</v>
      </c>
      <c r="K52" s="13" t="n">
        <v>0</v>
      </c>
      <c r="L52" s="13" t="n">
        <v>0</v>
      </c>
      <c r="M52" s="12" t="n">
        <f aca="false">SUM(I52:L52)</f>
        <v>1000</v>
      </c>
    </row>
    <row r="53" customFormat="false" ht="15" hidden="false" customHeight="false" outlineLevel="0" collapsed="false">
      <c r="A53" s="7" t="s">
        <v>119</v>
      </c>
      <c r="B53" s="7" t="s">
        <v>120</v>
      </c>
      <c r="C53" s="8" t="s">
        <v>101</v>
      </c>
      <c r="D53" s="9" t="n">
        <v>4</v>
      </c>
      <c r="E53" s="7" t="s">
        <v>102</v>
      </c>
      <c r="F53" s="10" t="n">
        <v>0</v>
      </c>
      <c r="G53" s="11" t="n">
        <f aca="false">D53*F53</f>
        <v>0</v>
      </c>
      <c r="H53" s="11" t="n">
        <f aca="false">G53*(1+Inputs!$B$8)</f>
        <v>0</v>
      </c>
      <c r="I53" s="12" t="n">
        <f aca="false">H53*Inputs!$B$5</f>
        <v>0</v>
      </c>
      <c r="J53" s="12" t="n">
        <f aca="false">D53*300</f>
        <v>1200</v>
      </c>
      <c r="K53" s="13" t="n">
        <v>0</v>
      </c>
      <c r="L53" s="13" t="n">
        <v>0</v>
      </c>
      <c r="M53" s="12" t="n">
        <f aca="false">SUM(I53:L53)</f>
        <v>1200</v>
      </c>
    </row>
    <row r="54" customFormat="false" ht="15" hidden="false" customHeight="false" outlineLevel="0" collapsed="false">
      <c r="A54" s="7" t="s">
        <v>121</v>
      </c>
      <c r="B54" s="7" t="s">
        <v>122</v>
      </c>
      <c r="C54" s="8" t="s">
        <v>101</v>
      </c>
      <c r="D54" s="9" t="n">
        <v>2</v>
      </c>
      <c r="E54" s="7" t="s">
        <v>81</v>
      </c>
      <c r="F54" s="10" t="n">
        <v>0</v>
      </c>
      <c r="G54" s="11" t="n">
        <f aca="false">D54*F54</f>
        <v>0</v>
      </c>
      <c r="H54" s="11" t="n">
        <f aca="false">G54*(1+Inputs!$B$8)</f>
        <v>0</v>
      </c>
      <c r="I54" s="12" t="n">
        <f aca="false">H54*Inputs!$B$5</f>
        <v>0</v>
      </c>
      <c r="J54" s="13" t="n">
        <v>0</v>
      </c>
      <c r="K54" s="12" t="n">
        <f aca="false">D54*Inputs!$B$12</f>
        <v>700</v>
      </c>
      <c r="L54" s="13" t="n">
        <v>0</v>
      </c>
      <c r="M54" s="12" t="n">
        <f aca="false">SUM(I54:L54)</f>
        <v>700</v>
      </c>
    </row>
    <row r="55" customFormat="false" ht="15" hidden="false" customHeight="false" outlineLevel="0" collapsed="false">
      <c r="B55" s="14" t="s">
        <v>123</v>
      </c>
      <c r="H55" s="15" t="n">
        <f aca="false">SUM(H50:H54)</f>
        <v>155.135</v>
      </c>
    </row>
    <row r="56" customFormat="false" ht="15" hidden="false" customHeight="false" outlineLevel="0" collapsed="false">
      <c r="B56" s="14" t="s">
        <v>124</v>
      </c>
      <c r="H56" s="16" t="n">
        <f aca="false">ROUNDUP(H55/(Inputs!$B$6*Inputs!$B$7),0)</f>
        <v>4</v>
      </c>
    </row>
    <row r="57" customFormat="false" ht="15" hidden="false" customHeight="false" outlineLevel="0" collapsed="false">
      <c r="B57" s="14" t="s">
        <v>84</v>
      </c>
      <c r="M57" s="17" t="n">
        <f aca="false">SUM(M50:M54)</f>
        <v>5778.375</v>
      </c>
    </row>
    <row r="58" customFormat="false" ht="15" hidden="false" customHeight="false" outlineLevel="0" collapsed="false">
      <c r="B58" s="14" t="s">
        <v>85</v>
      </c>
      <c r="M58" s="17" t="n">
        <f aca="false">Inputs!$B$15*H56*(Inputs!$B$13+Inputs!$B$6*Inputs!$B$14)</f>
        <v>2020</v>
      </c>
    </row>
    <row r="59" customFormat="false" ht="15" hidden="false" customHeight="false" outlineLevel="0" collapsed="false">
      <c r="B59" s="14" t="s">
        <v>86</v>
      </c>
      <c r="M59" s="17" t="n">
        <f aca="false">M57*Inputs!$B$10</f>
        <v>288.91875</v>
      </c>
    </row>
    <row r="60" customFormat="false" ht="15" hidden="false" customHeight="false" outlineLevel="0" collapsed="false">
      <c r="B60" s="14" t="s">
        <v>87</v>
      </c>
      <c r="M60" s="17" t="n">
        <f aca="false">Inputs!$B$9*H56</f>
        <v>4000</v>
      </c>
    </row>
    <row r="61" customFormat="false" ht="15" hidden="false" customHeight="false" outlineLevel="0" collapsed="false">
      <c r="B61" s="18" t="s">
        <v>125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20" t="n">
        <f aca="false">SUM(M57:M60)</f>
        <v>12087.29375</v>
      </c>
    </row>
    <row r="63" customFormat="false" ht="15" hidden="false" customHeight="false" outlineLevel="0" collapsed="false">
      <c r="A63" s="5" t="s">
        <v>126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customFormat="false" ht="15" hidden="false" customHeight="false" outlineLevel="0" collapsed="false">
      <c r="A64" s="7" t="s">
        <v>127</v>
      </c>
      <c r="B64" s="7" t="s">
        <v>128</v>
      </c>
      <c r="C64" s="8" t="s">
        <v>129</v>
      </c>
      <c r="D64" s="9" t="n">
        <v>9</v>
      </c>
      <c r="E64" s="7" t="s">
        <v>20</v>
      </c>
      <c r="F64" s="10" t="n">
        <v>4</v>
      </c>
      <c r="G64" s="11" t="n">
        <f aca="false">D64*F64</f>
        <v>36</v>
      </c>
      <c r="H64" s="11" t="n">
        <f aca="false">G64*(1+Inputs!$B$8)</f>
        <v>45</v>
      </c>
      <c r="I64" s="12" t="n">
        <f aca="false">H64*Inputs!$B$5</f>
        <v>1125</v>
      </c>
      <c r="J64" s="13" t="n">
        <v>0</v>
      </c>
      <c r="K64" s="13" t="n">
        <v>0</v>
      </c>
      <c r="L64" s="13" t="n">
        <v>0</v>
      </c>
      <c r="M64" s="12" t="n">
        <f aca="false">SUM(I64:L64)</f>
        <v>1125</v>
      </c>
    </row>
    <row r="65" customFormat="false" ht="15" hidden="false" customHeight="false" outlineLevel="0" collapsed="false">
      <c r="A65" s="7" t="s">
        <v>130</v>
      </c>
      <c r="B65" s="7" t="s">
        <v>131</v>
      </c>
      <c r="C65" s="8" t="s">
        <v>132</v>
      </c>
      <c r="D65" s="9" t="n">
        <v>1</v>
      </c>
      <c r="E65" s="7" t="s">
        <v>20</v>
      </c>
      <c r="F65" s="10" t="n">
        <v>8</v>
      </c>
      <c r="G65" s="11" t="n">
        <f aca="false">D65*F65</f>
        <v>8</v>
      </c>
      <c r="H65" s="11" t="n">
        <f aca="false">G65*(1+Inputs!$B$8)</f>
        <v>10</v>
      </c>
      <c r="I65" s="12" t="n">
        <f aca="false">H65*Inputs!$B$5</f>
        <v>250</v>
      </c>
      <c r="J65" s="13" t="n">
        <v>0</v>
      </c>
      <c r="K65" s="13" t="n">
        <v>0</v>
      </c>
      <c r="L65" s="13" t="n">
        <v>0</v>
      </c>
      <c r="M65" s="12" t="n">
        <f aca="false">SUM(I65:L65)</f>
        <v>250</v>
      </c>
    </row>
    <row r="66" customFormat="false" ht="15" hidden="false" customHeight="false" outlineLevel="0" collapsed="false">
      <c r="A66" s="7" t="s">
        <v>133</v>
      </c>
      <c r="B66" s="7" t="s">
        <v>134</v>
      </c>
      <c r="C66" s="8" t="s">
        <v>135</v>
      </c>
      <c r="D66" s="9" t="n">
        <v>4</v>
      </c>
      <c r="E66" s="7" t="s">
        <v>20</v>
      </c>
      <c r="F66" s="10" t="n">
        <v>6</v>
      </c>
      <c r="G66" s="11" t="n">
        <f aca="false">D66*F66</f>
        <v>24</v>
      </c>
      <c r="H66" s="11" t="n">
        <f aca="false">G66*(1+Inputs!$B$8)</f>
        <v>30</v>
      </c>
      <c r="I66" s="12" t="n">
        <f aca="false">H66*Inputs!$B$5</f>
        <v>750</v>
      </c>
      <c r="J66" s="13" t="n">
        <v>0</v>
      </c>
      <c r="K66" s="13" t="n">
        <v>0</v>
      </c>
      <c r="L66" s="13" t="n">
        <v>0</v>
      </c>
      <c r="M66" s="12" t="n">
        <f aca="false">SUM(I66:L66)</f>
        <v>750</v>
      </c>
    </row>
    <row r="67" customFormat="false" ht="15" hidden="false" customHeight="false" outlineLevel="0" collapsed="false">
      <c r="A67" s="7" t="s">
        <v>136</v>
      </c>
      <c r="B67" s="7" t="s">
        <v>137</v>
      </c>
      <c r="C67" s="8" t="s">
        <v>138</v>
      </c>
      <c r="D67" s="9" t="n">
        <v>2</v>
      </c>
      <c r="E67" s="7" t="s">
        <v>20</v>
      </c>
      <c r="F67" s="10" t="n">
        <v>5</v>
      </c>
      <c r="G67" s="11" t="n">
        <f aca="false">D67*F67</f>
        <v>10</v>
      </c>
      <c r="H67" s="11" t="n">
        <f aca="false">G67*(1+Inputs!$B$8)</f>
        <v>12.5</v>
      </c>
      <c r="I67" s="12" t="n">
        <f aca="false">H67*Inputs!$B$5</f>
        <v>312.5</v>
      </c>
      <c r="J67" s="13" t="n">
        <v>0</v>
      </c>
      <c r="K67" s="13" t="n">
        <v>0</v>
      </c>
      <c r="L67" s="13" t="n">
        <v>0</v>
      </c>
      <c r="M67" s="12" t="n">
        <f aca="false">SUM(I67:L67)</f>
        <v>312.5</v>
      </c>
    </row>
    <row r="68" customFormat="false" ht="15" hidden="false" customHeight="false" outlineLevel="0" collapsed="false">
      <c r="A68" s="7" t="s">
        <v>139</v>
      </c>
      <c r="B68" s="7" t="s">
        <v>140</v>
      </c>
      <c r="C68" s="8" t="s">
        <v>141</v>
      </c>
      <c r="D68" s="9" t="n">
        <v>3</v>
      </c>
      <c r="E68" s="7" t="s">
        <v>20</v>
      </c>
      <c r="F68" s="10" t="n">
        <v>5</v>
      </c>
      <c r="G68" s="11" t="n">
        <f aca="false">D68*F68</f>
        <v>15</v>
      </c>
      <c r="H68" s="11" t="n">
        <f aca="false">G68*(1+Inputs!$B$8)</f>
        <v>18.75</v>
      </c>
      <c r="I68" s="12" t="n">
        <f aca="false">H68*Inputs!$B$5</f>
        <v>468.75</v>
      </c>
      <c r="J68" s="13" t="n">
        <v>0</v>
      </c>
      <c r="K68" s="13" t="n">
        <v>0</v>
      </c>
      <c r="L68" s="13" t="n">
        <v>0</v>
      </c>
      <c r="M68" s="12" t="n">
        <f aca="false">SUM(I68:L68)</f>
        <v>468.75</v>
      </c>
    </row>
    <row r="69" customFormat="false" ht="15" hidden="false" customHeight="false" outlineLevel="0" collapsed="false">
      <c r="A69" s="7" t="s">
        <v>142</v>
      </c>
      <c r="B69" s="7" t="s">
        <v>143</v>
      </c>
      <c r="C69" s="8" t="s">
        <v>101</v>
      </c>
      <c r="D69" s="9" t="n">
        <v>3</v>
      </c>
      <c r="E69" s="7" t="s">
        <v>102</v>
      </c>
      <c r="F69" s="10" t="n">
        <v>0</v>
      </c>
      <c r="G69" s="11" t="n">
        <f aca="false">D69*F69</f>
        <v>0</v>
      </c>
      <c r="H69" s="11" t="n">
        <f aca="false">G69*(1+Inputs!$B$8)</f>
        <v>0</v>
      </c>
      <c r="I69" s="12" t="n">
        <f aca="false">H69*Inputs!$B$5</f>
        <v>0</v>
      </c>
      <c r="J69" s="12" t="n">
        <f aca="false">D69*200</f>
        <v>600</v>
      </c>
      <c r="K69" s="13" t="n">
        <v>0</v>
      </c>
      <c r="L69" s="13" t="n">
        <v>0</v>
      </c>
      <c r="M69" s="12" t="n">
        <f aca="false">SUM(I69:L69)</f>
        <v>600</v>
      </c>
    </row>
    <row r="70" customFormat="false" ht="15" hidden="false" customHeight="false" outlineLevel="0" collapsed="false">
      <c r="A70" s="7" t="s">
        <v>144</v>
      </c>
      <c r="B70" s="7" t="s">
        <v>145</v>
      </c>
      <c r="C70" s="8" t="s">
        <v>146</v>
      </c>
      <c r="D70" s="9" t="n">
        <v>1</v>
      </c>
      <c r="E70" s="7" t="s">
        <v>24</v>
      </c>
      <c r="F70" s="10" t="n">
        <v>0</v>
      </c>
      <c r="G70" s="11" t="n">
        <f aca="false">D70*F70</f>
        <v>0</v>
      </c>
      <c r="H70" s="11" t="n">
        <f aca="false">G70*(1+Inputs!$B$8)</f>
        <v>0</v>
      </c>
      <c r="I70" s="12" t="n">
        <f aca="false">H70*Inputs!$B$5</f>
        <v>0</v>
      </c>
      <c r="J70" s="13" t="n">
        <v>0</v>
      </c>
      <c r="K70" s="13" t="n">
        <v>0</v>
      </c>
      <c r="L70" s="13" t="n">
        <v>3000</v>
      </c>
      <c r="M70" s="12" t="n">
        <f aca="false">SUM(I70:L70)</f>
        <v>3000</v>
      </c>
    </row>
    <row r="71" customFormat="false" ht="15" hidden="false" customHeight="false" outlineLevel="0" collapsed="false">
      <c r="B71" s="14" t="s">
        <v>147</v>
      </c>
      <c r="H71" s="15" t="n">
        <f aca="false">SUM(H64:H70)</f>
        <v>116.25</v>
      </c>
    </row>
    <row r="72" customFormat="false" ht="15" hidden="false" customHeight="false" outlineLevel="0" collapsed="false">
      <c r="B72" s="14" t="s">
        <v>148</v>
      </c>
      <c r="H72" s="16" t="n">
        <f aca="false">ROUNDUP(H71/(Inputs!$B$6*Inputs!$B$7),0)</f>
        <v>3</v>
      </c>
    </row>
    <row r="73" customFormat="false" ht="15" hidden="false" customHeight="false" outlineLevel="0" collapsed="false">
      <c r="B73" s="14" t="s">
        <v>84</v>
      </c>
      <c r="M73" s="17" t="n">
        <f aca="false">SUM(M64:M70)</f>
        <v>6506.25</v>
      </c>
    </row>
    <row r="74" customFormat="false" ht="15" hidden="false" customHeight="false" outlineLevel="0" collapsed="false">
      <c r="B74" s="14" t="s">
        <v>85</v>
      </c>
      <c r="M74" s="17" t="n">
        <f aca="false">Inputs!$B$15*H72*(Inputs!$B$13+Inputs!$B$6*Inputs!$B$14)</f>
        <v>1515</v>
      </c>
    </row>
    <row r="75" customFormat="false" ht="15" hidden="false" customHeight="false" outlineLevel="0" collapsed="false">
      <c r="B75" s="14" t="s">
        <v>86</v>
      </c>
      <c r="M75" s="17" t="n">
        <f aca="false">M73*Inputs!$B$10</f>
        <v>325.3125</v>
      </c>
    </row>
    <row r="76" customFormat="false" ht="15" hidden="false" customHeight="false" outlineLevel="0" collapsed="false">
      <c r="B76" s="14" t="s">
        <v>87</v>
      </c>
      <c r="M76" s="17" t="n">
        <f aca="false">Inputs!$B$9*H72</f>
        <v>3000</v>
      </c>
    </row>
    <row r="77" customFormat="false" ht="15" hidden="false" customHeight="false" outlineLevel="0" collapsed="false">
      <c r="B77" s="18" t="s">
        <v>149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20" t="n">
        <f aca="false">SUM(M73:M76)</f>
        <v>11346.5625</v>
      </c>
    </row>
    <row r="79" customFormat="false" ht="15" hidden="false" customHeight="false" outlineLevel="0" collapsed="false">
      <c r="A79" s="5" t="s">
        <v>150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customFormat="false" ht="15" hidden="false" customHeight="false" outlineLevel="0" collapsed="false">
      <c r="A80" s="7" t="s">
        <v>151</v>
      </c>
      <c r="B80" s="7" t="s">
        <v>152</v>
      </c>
      <c r="C80" s="8" t="s">
        <v>153</v>
      </c>
      <c r="D80" s="9" t="n">
        <v>60</v>
      </c>
      <c r="E80" s="7" t="s">
        <v>35</v>
      </c>
      <c r="F80" s="10" t="n">
        <v>0.25</v>
      </c>
      <c r="G80" s="11" t="n">
        <f aca="false">D80*F80</f>
        <v>15</v>
      </c>
      <c r="H80" s="11" t="n">
        <f aca="false">G80*(1+Inputs!$B$8)</f>
        <v>18.75</v>
      </c>
      <c r="I80" s="12" t="n">
        <f aca="false">H80*Inputs!$B$5</f>
        <v>468.75</v>
      </c>
      <c r="J80" s="13" t="n">
        <v>150</v>
      </c>
      <c r="K80" s="13" t="n">
        <v>0</v>
      </c>
      <c r="L80" s="13" t="n">
        <v>0</v>
      </c>
      <c r="M80" s="12" t="n">
        <f aca="false">SUM(I80:L80)</f>
        <v>618.75</v>
      </c>
    </row>
    <row r="81" customFormat="false" ht="15" hidden="false" customHeight="false" outlineLevel="0" collapsed="false">
      <c r="B81" s="14" t="s">
        <v>154</v>
      </c>
      <c r="H81" s="15" t="n">
        <f aca="false">SUM(H80:H80)</f>
        <v>18.75</v>
      </c>
    </row>
    <row r="82" customFormat="false" ht="15" hidden="false" customHeight="false" outlineLevel="0" collapsed="false">
      <c r="B82" s="14" t="s">
        <v>155</v>
      </c>
      <c r="H82" s="16" t="n">
        <f aca="false">ROUNDUP(H81/(Inputs!$B$6*Inputs!$B$7),0)</f>
        <v>1</v>
      </c>
    </row>
    <row r="83" customFormat="false" ht="15" hidden="false" customHeight="false" outlineLevel="0" collapsed="false">
      <c r="B83" s="14" t="s">
        <v>84</v>
      </c>
      <c r="M83" s="17" t="n">
        <f aca="false">SUM(M80:M80)</f>
        <v>618.75</v>
      </c>
    </row>
    <row r="84" customFormat="false" ht="15" hidden="false" customHeight="false" outlineLevel="0" collapsed="false">
      <c r="B84" s="14" t="s">
        <v>85</v>
      </c>
      <c r="M84" s="17" t="n">
        <f aca="false">Inputs!$B$15*H82*(Inputs!$B$13+Inputs!$B$6*Inputs!$B$14)</f>
        <v>505</v>
      </c>
    </row>
    <row r="85" customFormat="false" ht="15" hidden="false" customHeight="false" outlineLevel="0" collapsed="false">
      <c r="B85" s="14" t="s">
        <v>86</v>
      </c>
      <c r="M85" s="17" t="n">
        <f aca="false">M83*Inputs!$B$10</f>
        <v>30.9375</v>
      </c>
    </row>
    <row r="86" customFormat="false" ht="15" hidden="false" customHeight="false" outlineLevel="0" collapsed="false">
      <c r="B86" s="14" t="s">
        <v>87</v>
      </c>
      <c r="M86" s="17" t="n">
        <f aca="false">Inputs!$B$9*H82</f>
        <v>1000</v>
      </c>
    </row>
    <row r="87" customFormat="false" ht="15" hidden="false" customHeight="false" outlineLevel="0" collapsed="false">
      <c r="B87" s="18" t="s">
        <v>156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20" t="n">
        <f aca="false">SUM(M83:M86)</f>
        <v>2154.6875</v>
      </c>
    </row>
    <row r="89" customFormat="false" ht="15" hidden="false" customHeight="false" outlineLevel="0" collapsed="false">
      <c r="A89" s="5" t="s">
        <v>157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customFormat="false" ht="15" hidden="false" customHeight="false" outlineLevel="0" collapsed="false">
      <c r="A90" s="7" t="s">
        <v>158</v>
      </c>
      <c r="B90" s="7" t="s">
        <v>159</v>
      </c>
      <c r="C90" s="8" t="s">
        <v>160</v>
      </c>
      <c r="D90" s="9" t="n">
        <v>2</v>
      </c>
      <c r="E90" s="7" t="s">
        <v>161</v>
      </c>
      <c r="F90" s="10" t="n">
        <v>24</v>
      </c>
      <c r="G90" s="11" t="n">
        <f aca="false">D90*F90</f>
        <v>48</v>
      </c>
      <c r="H90" s="11" t="n">
        <f aca="false">G90*(1+Inputs!$B$8)</f>
        <v>60</v>
      </c>
      <c r="I90" s="12" t="n">
        <f aca="false">H90*Inputs!$B$5</f>
        <v>1500</v>
      </c>
      <c r="J90" s="13" t="n">
        <v>700</v>
      </c>
      <c r="K90" s="13" t="n">
        <v>0</v>
      </c>
      <c r="L90" s="13" t="n">
        <v>600</v>
      </c>
      <c r="M90" s="12" t="n">
        <f aca="false">SUM(I90:L90)</f>
        <v>2800</v>
      </c>
    </row>
    <row r="91" customFormat="false" ht="15" hidden="false" customHeight="false" outlineLevel="0" collapsed="false">
      <c r="B91" s="14" t="s">
        <v>162</v>
      </c>
      <c r="H91" s="15" t="n">
        <f aca="false">SUM(H90:H90)</f>
        <v>60</v>
      </c>
    </row>
    <row r="92" customFormat="false" ht="15" hidden="false" customHeight="false" outlineLevel="0" collapsed="false">
      <c r="B92" s="14" t="s">
        <v>163</v>
      </c>
      <c r="H92" s="16" t="n">
        <f aca="false">ROUNDUP(H91/(Inputs!$B$6*Inputs!$B$7),0)</f>
        <v>2</v>
      </c>
    </row>
    <row r="93" customFormat="false" ht="15" hidden="false" customHeight="false" outlineLevel="0" collapsed="false">
      <c r="B93" s="14" t="s">
        <v>84</v>
      </c>
      <c r="M93" s="17" t="n">
        <f aca="false">SUM(M90:M90)</f>
        <v>2800</v>
      </c>
    </row>
    <row r="94" customFormat="false" ht="15" hidden="false" customHeight="false" outlineLevel="0" collapsed="false">
      <c r="B94" s="14" t="s">
        <v>85</v>
      </c>
      <c r="M94" s="17" t="n">
        <f aca="false">Inputs!$B$15*H92*(Inputs!$B$13+Inputs!$B$6*Inputs!$B$14)</f>
        <v>1010</v>
      </c>
    </row>
    <row r="95" customFormat="false" ht="15" hidden="false" customHeight="false" outlineLevel="0" collapsed="false">
      <c r="B95" s="14" t="s">
        <v>86</v>
      </c>
      <c r="M95" s="17" t="n">
        <f aca="false">M93*Inputs!$B$10</f>
        <v>140</v>
      </c>
    </row>
    <row r="96" customFormat="false" ht="15" hidden="false" customHeight="false" outlineLevel="0" collapsed="false">
      <c r="B96" s="14" t="s">
        <v>87</v>
      </c>
      <c r="M96" s="17" t="n">
        <f aca="false">Inputs!$B$9*H92</f>
        <v>2000</v>
      </c>
    </row>
    <row r="97" customFormat="false" ht="15" hidden="false" customHeight="false" outlineLevel="0" collapsed="false">
      <c r="B97" s="18" t="s">
        <v>164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20" t="n">
        <f aca="false">SUM(M93:M96)</f>
        <v>5950</v>
      </c>
    </row>
    <row r="100" customFormat="false" ht="15" hidden="false" customHeight="false" outlineLevel="0" collapsed="false">
      <c r="A100" s="5" t="s">
        <v>165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customFormat="false" ht="15" hidden="false" customHeight="false" outlineLevel="0" collapsed="false">
      <c r="B101" s="21" t="s">
        <v>166</v>
      </c>
      <c r="H101" s="21" t="s">
        <v>167</v>
      </c>
      <c r="M101" s="21" t="s">
        <v>168</v>
      </c>
    </row>
    <row r="102" customFormat="false" ht="15" hidden="false" customHeight="false" outlineLevel="0" collapsed="false">
      <c r="B102" s="14" t="s">
        <v>169</v>
      </c>
      <c r="H102" s="16" t="n">
        <f aca="false">H28</f>
        <v>19</v>
      </c>
      <c r="M102" s="22" t="n">
        <f aca="false">M33</f>
        <v>55389.6875</v>
      </c>
    </row>
    <row r="103" customFormat="false" ht="15" hidden="false" customHeight="false" outlineLevel="0" collapsed="false">
      <c r="B103" s="14" t="s">
        <v>170</v>
      </c>
      <c r="H103" s="16" t="n">
        <f aca="false">H42</f>
        <v>14</v>
      </c>
      <c r="M103" s="22" t="n">
        <f aca="false">M47</f>
        <v>45265.9375</v>
      </c>
    </row>
    <row r="104" customFormat="false" ht="15" hidden="false" customHeight="false" outlineLevel="0" collapsed="false">
      <c r="B104" s="14" t="s">
        <v>171</v>
      </c>
      <c r="H104" s="16" t="n">
        <f aca="false">H56</f>
        <v>4</v>
      </c>
      <c r="M104" s="22" t="n">
        <f aca="false">M61</f>
        <v>12087.29375</v>
      </c>
    </row>
    <row r="105" customFormat="false" ht="15" hidden="false" customHeight="false" outlineLevel="0" collapsed="false">
      <c r="B105" s="14" t="s">
        <v>172</v>
      </c>
      <c r="H105" s="16" t="n">
        <f aca="false">H72</f>
        <v>3</v>
      </c>
      <c r="M105" s="22" t="n">
        <f aca="false">M77</f>
        <v>11346.5625</v>
      </c>
    </row>
    <row r="106" customFormat="false" ht="15" hidden="false" customHeight="false" outlineLevel="0" collapsed="false">
      <c r="B106" s="14" t="s">
        <v>173</v>
      </c>
      <c r="H106" s="16" t="n">
        <f aca="false">H82</f>
        <v>1</v>
      </c>
      <c r="M106" s="22" t="n">
        <f aca="false">M87</f>
        <v>2154.6875</v>
      </c>
    </row>
    <row r="107" customFormat="false" ht="15" hidden="false" customHeight="false" outlineLevel="0" collapsed="false">
      <c r="B107" s="14" t="s">
        <v>174</v>
      </c>
      <c r="H107" s="16" t="n">
        <f aca="false">H92</f>
        <v>2</v>
      </c>
      <c r="M107" s="22" t="n">
        <f aca="false">M97</f>
        <v>5950</v>
      </c>
    </row>
    <row r="108" customFormat="false" ht="15" hidden="false" customHeight="false" outlineLevel="0" collapsed="false">
      <c r="B108" s="18" t="s">
        <v>175</v>
      </c>
      <c r="C108" s="19"/>
      <c r="D108" s="19"/>
      <c r="E108" s="19"/>
      <c r="F108" s="19"/>
      <c r="G108" s="19"/>
      <c r="H108" s="23" t="n">
        <f aca="false">SUM(H102:H107)</f>
        <v>43</v>
      </c>
      <c r="I108" s="19"/>
      <c r="J108" s="19"/>
      <c r="K108" s="19"/>
      <c r="L108" s="19"/>
      <c r="M108" s="20" t="n">
        <f aca="false">SUM(M102:M107)</f>
        <v>132194.16875</v>
      </c>
    </row>
    <row r="110" customFormat="false" ht="15" hidden="false" customHeight="false" outlineLevel="0" collapsed="false">
      <c r="B110" s="3" t="s">
        <v>176</v>
      </c>
      <c r="C110" s="3" t="s">
        <v>177</v>
      </c>
      <c r="M110" s="24" t="n">
        <f aca="false">M47/(D36+D37)</f>
        <v>19.4274409871245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3" t="s">
        <v>179</v>
      </c>
    </row>
    <row r="4" customFormat="false" ht="15" hidden="false" customHeight="false" outlineLevel="0" collapsed="false">
      <c r="A4" s="25" t="s">
        <v>180</v>
      </c>
      <c r="B4" s="25" t="s">
        <v>181</v>
      </c>
      <c r="C4" s="25" t="s">
        <v>182</v>
      </c>
    </row>
    <row r="5" customFormat="false" ht="15" hidden="false" customHeight="false" outlineLevel="0" collapsed="false">
      <c r="A5" s="14" t="s">
        <v>183</v>
      </c>
      <c r="B5" s="26" t="n">
        <v>25</v>
      </c>
      <c r="C5" s="27" t="s">
        <v>184</v>
      </c>
    </row>
    <row r="6" customFormat="false" ht="15" hidden="false" customHeight="false" outlineLevel="0" collapsed="false">
      <c r="A6" s="14" t="s">
        <v>185</v>
      </c>
      <c r="B6" s="28" t="n">
        <v>6</v>
      </c>
      <c r="C6" s="27" t="s">
        <v>186</v>
      </c>
    </row>
    <row r="7" customFormat="false" ht="15" hidden="false" customHeight="false" outlineLevel="0" collapsed="false">
      <c r="A7" s="14" t="s">
        <v>187</v>
      </c>
      <c r="B7" s="28" t="n">
        <v>8</v>
      </c>
      <c r="C7" s="27" t="s">
        <v>188</v>
      </c>
    </row>
    <row r="8" customFormat="false" ht="15" hidden="false" customHeight="false" outlineLevel="0" collapsed="false">
      <c r="A8" s="14" t="s">
        <v>189</v>
      </c>
      <c r="B8" s="29" t="n">
        <v>0.25</v>
      </c>
      <c r="C8" s="27" t="s">
        <v>190</v>
      </c>
    </row>
    <row r="9" customFormat="false" ht="15" hidden="false" customHeight="false" outlineLevel="0" collapsed="false">
      <c r="A9" s="14" t="s">
        <v>191</v>
      </c>
      <c r="B9" s="26" t="n">
        <v>1000</v>
      </c>
      <c r="C9" s="27" t="s">
        <v>192</v>
      </c>
    </row>
    <row r="10" customFormat="false" ht="15" hidden="false" customHeight="false" outlineLevel="0" collapsed="false">
      <c r="A10" s="14" t="s">
        <v>193</v>
      </c>
      <c r="B10" s="30" t="n">
        <v>0.05</v>
      </c>
      <c r="C10" s="27" t="s">
        <v>194</v>
      </c>
    </row>
    <row r="11" customFormat="false" ht="15" hidden="false" customHeight="false" outlineLevel="0" collapsed="false">
      <c r="A11" s="14" t="s">
        <v>195</v>
      </c>
      <c r="B11" s="31" t="n">
        <v>350</v>
      </c>
      <c r="C11" s="27" t="s">
        <v>196</v>
      </c>
    </row>
    <row r="12" customFormat="false" ht="15" hidden="false" customHeight="false" outlineLevel="0" collapsed="false">
      <c r="A12" s="14" t="s">
        <v>197</v>
      </c>
      <c r="B12" s="31" t="n">
        <v>350</v>
      </c>
      <c r="C12" s="27" t="s">
        <v>198</v>
      </c>
    </row>
    <row r="13" customFormat="false" ht="15" hidden="false" customHeight="false" outlineLevel="0" collapsed="false">
      <c r="A13" s="14" t="s">
        <v>199</v>
      </c>
      <c r="B13" s="31" t="n">
        <v>265</v>
      </c>
      <c r="C13" s="27" t="s">
        <v>200</v>
      </c>
    </row>
    <row r="14" customFormat="false" ht="15" hidden="false" customHeight="false" outlineLevel="0" collapsed="false">
      <c r="A14" s="14" t="s">
        <v>201</v>
      </c>
      <c r="B14" s="26" t="n">
        <v>40</v>
      </c>
      <c r="C14" s="27" t="s">
        <v>202</v>
      </c>
    </row>
    <row r="15" customFormat="false" ht="15" hidden="false" customHeight="false" outlineLevel="0" collapsed="false">
      <c r="A15" s="14" t="s">
        <v>203</v>
      </c>
      <c r="B15" s="32" t="n">
        <v>1</v>
      </c>
      <c r="C15" s="27" t="s">
        <v>204</v>
      </c>
    </row>
    <row r="16" customFormat="false" ht="15" hidden="false" customHeight="false" outlineLevel="0" collapsed="false">
      <c r="A16" s="14" t="s">
        <v>205</v>
      </c>
      <c r="B16" s="31" t="n">
        <v>75</v>
      </c>
      <c r="C16" s="27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0"/>
  </cols>
  <sheetData>
    <row r="1" customFormat="false" ht="17.35" hidden="false" customHeight="false" outlineLevel="0" collapsed="false">
      <c r="B1" s="1" t="s">
        <v>207</v>
      </c>
    </row>
    <row r="3" customFormat="false" ht="15" hidden="false" customHeight="false" outlineLevel="0" collapsed="false">
      <c r="B3" s="21" t="s">
        <v>208</v>
      </c>
    </row>
    <row r="4" customFormat="false" ht="15" hidden="false" customHeight="false" outlineLevel="0" collapsed="false">
      <c r="A4" s="14" t="n">
        <v>1</v>
      </c>
      <c r="B4" s="33" t="s">
        <v>209</v>
      </c>
    </row>
    <row r="5" customFormat="false" ht="15" hidden="false" customHeight="false" outlineLevel="0" collapsed="false">
      <c r="A5" s="14" t="n">
        <v>2</v>
      </c>
      <c r="B5" s="33" t="s">
        <v>210</v>
      </c>
    </row>
    <row r="6" customFormat="false" ht="15" hidden="false" customHeight="false" outlineLevel="0" collapsed="false">
      <c r="A6" s="14" t="n">
        <v>3</v>
      </c>
      <c r="B6" s="33" t="s">
        <v>211</v>
      </c>
    </row>
    <row r="7" customFormat="false" ht="15" hidden="false" customHeight="false" outlineLevel="0" collapsed="false">
      <c r="A7" s="14" t="n">
        <v>4</v>
      </c>
      <c r="B7" s="33" t="s">
        <v>212</v>
      </c>
    </row>
    <row r="8" customFormat="false" ht="15" hidden="false" customHeight="false" outlineLevel="0" collapsed="false">
      <c r="A8" s="14" t="n">
        <v>5</v>
      </c>
      <c r="B8" s="33" t="s">
        <v>213</v>
      </c>
    </row>
    <row r="9" customFormat="false" ht="23.85" hidden="false" customHeight="false" outlineLevel="0" collapsed="false">
      <c r="A9" s="14" t="n">
        <v>6</v>
      </c>
      <c r="B9" s="33" t="s">
        <v>214</v>
      </c>
    </row>
    <row r="10" customFormat="false" ht="15" hidden="false" customHeight="false" outlineLevel="0" collapsed="false">
      <c r="A10" s="14" t="n">
        <v>7</v>
      </c>
      <c r="B10" s="33" t="s">
        <v>215</v>
      </c>
    </row>
    <row r="11" customFormat="false" ht="15" hidden="false" customHeight="false" outlineLevel="0" collapsed="false">
      <c r="A11" s="14" t="n">
        <v>8</v>
      </c>
      <c r="B11" s="33" t="s">
        <v>216</v>
      </c>
    </row>
    <row r="12" customFormat="false" ht="15" hidden="false" customHeight="false" outlineLevel="0" collapsed="false">
      <c r="A12" s="14" t="n">
        <v>9</v>
      </c>
      <c r="B12" s="33" t="s">
        <v>217</v>
      </c>
    </row>
    <row r="13" customFormat="false" ht="15" hidden="false" customHeight="false" outlineLevel="0" collapsed="false">
      <c r="A13" s="14" t="n">
        <v>10</v>
      </c>
      <c r="B13" s="33" t="s">
        <v>218</v>
      </c>
    </row>
    <row r="14" customFormat="false" ht="15" hidden="false" customHeight="false" outlineLevel="0" collapsed="false">
      <c r="A14" s="14" t="n">
        <v>11</v>
      </c>
      <c r="B14" s="33" t="s">
        <v>219</v>
      </c>
    </row>
    <row r="15" customFormat="false" ht="15" hidden="false" customHeight="false" outlineLevel="0" collapsed="false">
      <c r="A15" s="14" t="n">
        <v>12</v>
      </c>
      <c r="B15" s="33" t="s">
        <v>220</v>
      </c>
    </row>
    <row r="16" customFormat="false" ht="15" hidden="false" customHeight="false" outlineLevel="0" collapsed="false">
      <c r="A16" s="14" t="n">
        <v>13</v>
      </c>
      <c r="B16" s="33" t="s">
        <v>221</v>
      </c>
    </row>
    <row r="17" customFormat="false" ht="15" hidden="false" customHeight="false" outlineLevel="0" collapsed="false">
      <c r="A17" s="14" t="n">
        <v>14</v>
      </c>
      <c r="B17" s="33" t="s">
        <v>222</v>
      </c>
    </row>
    <row r="18" customFormat="false" ht="15" hidden="false" customHeight="false" outlineLevel="0" collapsed="false">
      <c r="A18" s="14" t="n">
        <v>15</v>
      </c>
      <c r="B18" s="33" t="s">
        <v>223</v>
      </c>
    </row>
    <row r="19" customFormat="false" ht="23.85" hidden="false" customHeight="false" outlineLevel="0" collapsed="false">
      <c r="A19" s="14" t="n">
        <v>16</v>
      </c>
      <c r="B19" s="33" t="s">
        <v>224</v>
      </c>
    </row>
    <row r="20" customFormat="false" ht="15" hidden="false" customHeight="false" outlineLevel="0" collapsed="false">
      <c r="A20" s="14" t="n">
        <v>17</v>
      </c>
      <c r="B20" s="33" t="s">
        <v>225</v>
      </c>
    </row>
    <row r="21" customFormat="false" ht="15" hidden="false" customHeight="false" outlineLevel="0" collapsed="false">
      <c r="A21" s="14" t="n">
        <v>18</v>
      </c>
      <c r="B21" s="33" t="s">
        <v>226</v>
      </c>
    </row>
    <row r="23" customFormat="false" ht="15" hidden="false" customHeight="false" outlineLevel="0" collapsed="false">
      <c r="B23" s="21" t="s">
        <v>227</v>
      </c>
    </row>
    <row r="24" customFormat="false" ht="23.85" hidden="false" customHeight="false" outlineLevel="0" collapsed="false">
      <c r="A24" s="14" t="s">
        <v>228</v>
      </c>
      <c r="B24" s="33" t="s">
        <v>229</v>
      </c>
    </row>
    <row r="25" customFormat="false" ht="23.85" hidden="false" customHeight="false" outlineLevel="0" collapsed="false">
      <c r="A25" s="14" t="s">
        <v>230</v>
      </c>
      <c r="B25" s="33" t="s">
        <v>231</v>
      </c>
    </row>
    <row r="26" customFormat="false" ht="23.85" hidden="false" customHeight="false" outlineLevel="0" collapsed="false">
      <c r="A26" s="14" t="s">
        <v>232</v>
      </c>
      <c r="B26" s="33" t="s">
        <v>233</v>
      </c>
    </row>
    <row r="27" customFormat="false" ht="15" hidden="false" customHeight="false" outlineLevel="0" collapsed="false">
      <c r="A27" s="14" t="s">
        <v>234</v>
      </c>
      <c r="B27" s="33" t="s">
        <v>235</v>
      </c>
    </row>
    <row r="28" customFormat="false" ht="15" hidden="false" customHeight="false" outlineLevel="0" collapsed="false">
      <c r="A28" s="14" t="s">
        <v>236</v>
      </c>
      <c r="B28" s="33" t="s">
        <v>237</v>
      </c>
    </row>
    <row r="29" customFormat="false" ht="15" hidden="false" customHeight="false" outlineLevel="0" collapsed="false">
      <c r="A29" s="14" t="s">
        <v>238</v>
      </c>
      <c r="B29" s="33" t="s">
        <v>239</v>
      </c>
    </row>
    <row r="31" customFormat="false" ht="15" hidden="false" customHeight="false" outlineLevel="0" collapsed="false">
      <c r="B31" s="21" t="s">
        <v>240</v>
      </c>
    </row>
    <row r="32" customFormat="false" ht="15" hidden="false" customHeight="false" outlineLevel="0" collapsed="false">
      <c r="B32" s="33" t="s">
        <v>241</v>
      </c>
    </row>
    <row r="33" customFormat="false" ht="15" hidden="false" customHeight="false" outlineLevel="0" collapsed="false">
      <c r="B33" s="33" t="s">
        <v>242</v>
      </c>
    </row>
    <row r="34" customFormat="false" ht="23.85" hidden="false" customHeight="false" outlineLevel="0" collapsed="false">
      <c r="B34" s="33" t="s">
        <v>243</v>
      </c>
    </row>
    <row r="35" customFormat="false" ht="15" hidden="false" customHeight="false" outlineLevel="0" collapsed="false">
      <c r="B35" s="33" t="s">
        <v>244</v>
      </c>
    </row>
    <row r="36" customFormat="false" ht="23.85" hidden="false" customHeight="false" outlineLevel="0" collapsed="false">
      <c r="B36" s="33" t="s">
        <v>245</v>
      </c>
    </row>
    <row r="37" customFormat="false" ht="15" hidden="false" customHeight="false" outlineLevel="0" collapsed="false">
      <c r="B37" s="33" t="s">
        <v>246</v>
      </c>
    </row>
    <row r="38" customFormat="false" ht="15" hidden="false" customHeight="false" outlineLevel="0" collapsed="false">
      <c r="B38" s="33" t="s">
        <v>247</v>
      </c>
    </row>
    <row r="39" customFormat="false" ht="15" hidden="false" customHeight="false" outlineLevel="0" collapsed="false">
      <c r="B39" s="33" t="s">
        <v>248</v>
      </c>
    </row>
    <row r="40" customFormat="false" ht="15" hidden="false" customHeight="false" outlineLevel="0" collapsed="false">
      <c r="B40" s="33" t="s">
        <v>249</v>
      </c>
    </row>
    <row r="41" customFormat="false" ht="15" hidden="false" customHeight="false" outlineLevel="0" collapsed="false">
      <c r="B41" s="33" t="s">
        <v>250</v>
      </c>
    </row>
    <row r="42" customFormat="false" ht="15" hidden="false" customHeight="false" outlineLevel="0" collapsed="false">
      <c r="B42" s="33" t="s">
        <v>251</v>
      </c>
    </row>
    <row r="44" customFormat="false" ht="15" hidden="false" customHeight="false" outlineLevel="0" collapsed="false">
      <c r="B44" s="21" t="s">
        <v>252</v>
      </c>
    </row>
    <row r="45" customFormat="false" ht="15" hidden="false" customHeight="false" outlineLevel="0" collapsed="false">
      <c r="B45" s="33" t="s">
        <v>253</v>
      </c>
    </row>
    <row r="46" customFormat="false" ht="15" hidden="false" customHeight="false" outlineLevel="0" collapsed="false">
      <c r="B46" s="33" t="s">
        <v>254</v>
      </c>
    </row>
    <row r="47" customFormat="false" ht="15" hidden="false" customHeight="false" outlineLevel="0" collapsed="false">
      <c r="B47" s="33" t="s">
        <v>255</v>
      </c>
    </row>
    <row r="48" customFormat="false" ht="15" hidden="false" customHeight="false" outlineLevel="0" collapsed="false">
      <c r="B48" s="33" t="s">
        <v>256</v>
      </c>
    </row>
    <row r="49" customFormat="false" ht="15" hidden="false" customHeight="false" outlineLevel="0" collapsed="false">
      <c r="B49" s="33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2026-10-27T13:24:16Z</dcterms:created>
  <dc:creator>openpyxl</dc:creator>
  <dc:description/>
  <dc:language>en-US</dc:language>
  <cp:lastModifiedBy/>
  <dcterms:modified xsi:type="dcterms:W3CDTF">2026-10-27T13:24:16Z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